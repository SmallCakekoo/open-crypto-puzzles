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open-crypto-puzzles\3-small-prizes\bitcoin-movie-enigma-100ksats\analysis\"/>
    </mc:Choice>
  </mc:AlternateContent>
  <xr:revisionPtr revIDLastSave="0" documentId="13_ncr:1_{D3C3BF28-DC7E-4628-A9C3-08FE13171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Db field au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<sst xmlns="http://schemas.openxmlformats.org/spreadsheetml/2006/main" count="914" uniqueCount="737">
  <si>
    <t>Panel #</t>
  </si>
  <si>
    <t>Titulo actual</t>
  </si>
  <si>
    <t>Anio</t>
  </si>
  <si>
    <t>Confianza identificacion</t>
  </si>
  <si>
    <t>Buscar en IMDb</t>
  </si>
  <si>
    <t>Director (ya registrado)</t>
  </si>
  <si>
    <t>Actor principal (ya registrado)</t>
  </si>
  <si>
    <t>Reparto adicional relevante (top 4-6 IMDb)</t>
  </si>
  <si>
    <t>Pais(es) de origen</t>
  </si>
  <si>
    <t>Idioma(s)</t>
  </si>
  <si>
    <t>Fecha de estreno exacta</t>
  </si>
  <si>
    <t>Duracion (min)</t>
  </si>
  <si>
    <t>Generos (orden exacto de IMDb)</t>
  </si>
  <si>
    <t>Certificacion/Rating (confirmar)</t>
  </si>
  <si>
    <t>Color / Blanco y Negro</t>
  </si>
  <si>
    <t>Aspect ratio</t>
  </si>
  <si>
    <t>Sound mix</t>
  </si>
  <si>
    <t>Presupuesto</t>
  </si>
  <si>
    <t>Recaudacion mundial</t>
  </si>
  <si>
    <t>Compania(s) productora(s)</t>
  </si>
  <si>
    <t>Distribuidora</t>
  </si>
  <si>
    <t>Premios/nominaciones relevantes</t>
  </si>
  <si>
    <t>Titulos alternativos (AKA)</t>
  </si>
  <si>
    <t>Locaciones de filmacion</t>
  </si>
  <si>
    <t>Keywords de IMDb (las 5-6 primeras)</t>
  </si>
  <si>
    <t>Es secuela/reboot/spin-off? (si/no + de cual)</t>
  </si>
  <si>
    <t>Guionista(s)</t>
  </si>
  <si>
    <t>Notas / algo inusual que notaste</t>
  </si>
  <si>
    <t>Palabra(s) BIP39 candidata(s) [indice en wordlist:longitud]</t>
  </si>
  <si>
    <t>Substrings inferiores (dominadas por un whole-word ya existente en la misma palabra del titulo -- no usadas como candidato principal)</t>
  </si>
  <si>
    <t>Die Hard</t>
  </si>
  <si>
    <t>confirmed https://ameblo.jp/pip0803/entry-11465452478.html</t>
  </si>
  <si>
    <t>John McTiernan</t>
  </si>
  <si>
    <t>Bruce Willis</t>
  </si>
  <si>
    <t>Bruce Willis, Alan Rickman, Bonnie Bedelia, Reginald VelJohnson, Paul Gleason, De'voreaux White</t>
  </si>
  <si>
    <t>United States</t>
  </si>
  <si>
    <t>English, German, Italian, Japanese</t>
  </si>
  <si>
    <t>July 20, 1988 (United States)</t>
  </si>
  <si>
    <t>Action, Thriller</t>
  </si>
  <si>
    <t>R</t>
  </si>
  <si>
    <t>Color</t>
  </si>
  <si>
    <t>2.39:1 (35mm prints); 2.20:1 (70mm prints)</t>
  </si>
  <si>
    <t>70 mm 6-Track (70 mm prints); Dolby Stereo (35 mm prints, 4 channels)</t>
  </si>
  <si>
    <t>$28,000,000 (estimated)</t>
  </si>
  <si>
    <t>$143,651,650 (worldwide); $85,892,546 (US &amp; Canada)</t>
  </si>
  <si>
    <t>20th Century Fox, Gordon Company, Silver Pictures</t>
  </si>
  <si>
    <t>20th Century Fox</t>
  </si>
  <si>
    <t>Nominated for 4 Oscars; 10 wins &amp; 12 nominations total</t>
  </si>
  <si>
    <t>Duro de matar (Spanish title)</t>
  </si>
  <si>
    <t>Fox Plaza - 2121 Avenue of the Stars, Century City, Los Angeles, California, USA (Nakatomi building; interiors on 29th/35th floors)</t>
  </si>
  <si>
    <t>hostage; one against many; los angeles, california; heist; christmas; action hero</t>
  </si>
  <si>
    <t>No (original film; spawned 4 sequels: Die Hard 2, Die Hard with a Vengeance, Live Free or Die Hard, A Good Day to Die Hard)</t>
  </si>
  <si>
    <t>Roderick Thorp (based on the novel by); Jeb Stuart (screenplay); Steven E. de Souza (screenplay)</t>
  </si>
  <si>
    <t>IMDb 'Related interests' tags differ from classic Genres field: Dark Comedy, Disaster, One-Person Army Action, Action, Holiday, Thriller. Dual sound formats for 35mm vs 70mm release prints.</t>
  </si>
  <si>
    <t>hard[841:4]</t>
  </si>
  <si>
    <t>(ninguna)</t>
  </si>
  <si>
    <t>Paths of Glory</t>
  </si>
  <si>
    <t>confirmed https://www.imdb.com/es-es/title/tt0050825/characters/nm0137046/</t>
  </si>
  <si>
    <t>Stanley Kubrick</t>
  </si>
  <si>
    <t>Kirk Douglas</t>
  </si>
  <si>
    <t>Kirk Douglas, Ralph Meeker, Adolphe Menjou, George Macready, Wayne Morris, Richard Anderson</t>
  </si>
  <si>
    <t>English, German, Latin</t>
  </si>
  <si>
    <t>December 25, 1957 (United States)</t>
  </si>
  <si>
    <t>Drama, War</t>
  </si>
  <si>
    <t>APPROVED</t>
  </si>
  <si>
    <t>Black and White</t>
  </si>
  <si>
    <t>1.66:1</t>
  </si>
  <si>
    <t>Mono</t>
  </si>
  <si>
    <t>$935,000 (estimated)</t>
  </si>
  <si>
    <t>$9,307 (worldwide, as listed on IMDb -- likely a re-release-only tracked figure, original 1957 theatrical gross not tracked)</t>
  </si>
  <si>
    <t>Bryna Productions</t>
  </si>
  <si>
    <t>No confirmado en la pagina principal -- revisar /companycredits (histor. distribuidor original: United Artists)</t>
  </si>
  <si>
    <t>Nominated for 1 BAFTA Award; 5 wins &amp; 3 nominations total</t>
  </si>
  <si>
    <t>Patrulla infernal (Spanish title)</t>
  </si>
  <si>
    <t>Schloss Schleissheim, Oberschleissheim, Bavaria, Germany (Command Headquarters)</t>
  </si>
  <si>
    <t>trench warfare; military officer; world war one; french army; military justice; soldier</t>
  </si>
  <si>
    <t>No (standalone film)</t>
  </si>
  <si>
    <t>Stanley Kubrick (screenplay); Calder Willingham (screenplay); Jim Thompson (screenplay); Humphrey Cobb (based on the novel)</t>
  </si>
  <si>
    <t>Banned in France until 1970s and in Spain under Franco until 1986 for anti-military message.</t>
  </si>
  <si>
    <t>glory[796:5]; path[1287:4]; soldier[1652:7]; battle[154:6]; general[774:7]; pistol[1323:6]</t>
  </si>
  <si>
    <t>Aliens</t>
  </si>
  <si>
    <t>confirmed https://johnkennethmuir.wordpress.com/2012/02/10/sci-tech-4-colonial-marines-edition/ - https://www.facebook.com/watch/?v=996562846638115</t>
  </si>
  <si>
    <t>James Cameron</t>
  </si>
  <si>
    <t>Sigourney Weaver</t>
  </si>
  <si>
    <t>Michael Biehn, Carrie Henn, Paul Reiser, Lance Henriksen, Bill Paxton, William Hope</t>
  </si>
  <si>
    <t>United Kingdom, United States</t>
  </si>
  <si>
    <t>English, Spanish</t>
  </si>
  <si>
    <t>July 18, 1986 (United States)</t>
  </si>
  <si>
    <t>Action, Adventure, Horror</t>
  </si>
  <si>
    <t>1.85:1 (also 1.37:1 cropped)</t>
  </si>
  <si>
    <t>70 mm 6-Track (70 mm prints); Dolby Stereo (35 mm prints); Mono (16 mm prints); Stereo (Magnetic super 8 prints)</t>
  </si>
  <si>
    <t>$18,500,000 (estimated)</t>
  </si>
  <si>
    <t>$131,060,248 (worldwide); $85,160,248 (US &amp; Canada)</t>
  </si>
  <si>
    <t>20th Century Fox, Brandywine Productions</t>
  </si>
  <si>
    <t>Won 2 Oscars; 21 wins &amp; 29 nominations total</t>
  </si>
  <si>
    <t>Alien 2: El regreso (Spanish title)</t>
  </si>
  <si>
    <t>Acton Lane Power Station, Acton Lane, Acton, London, England, UK</t>
  </si>
  <si>
    <t>soldier; rescue mission; monster; android; human versus alien; xenomorph</t>
  </si>
  <si>
    <t>Yes -- direct sequel to Alien (1979); second film in the Alien franchise</t>
  </si>
  <si>
    <t>James Cameron (screenplay, story); David Giler &amp; Walter Hill (story); Dan O'Bannon &amp; Ronald Shusett (based on characters created by)</t>
  </si>
  <si>
    <t>Related interests tags: Alien, Alien Invasion, Cyberpunk, Monster Horror, Space Sci-Fi, Survival (broader than core Genres field).</t>
  </si>
  <si>
    <t>alien[50:5]</t>
  </si>
  <si>
    <t>Mad Max</t>
  </si>
  <si>
    <t>confirmed https://www.imdb.com/es-es/title/tt0079501/characters/nm0263149/</t>
  </si>
  <si>
    <t>George Miller</t>
  </si>
  <si>
    <t>Mel Gibson</t>
  </si>
  <si>
    <t>Joanne Samuel, Hugh Keays-Byrne, Steve Bisley, Tim Burns, Roger Ward</t>
  </si>
  <si>
    <t>Australia</t>
  </si>
  <si>
    <t>English</t>
  </si>
  <si>
    <t>March 21, 1980 (United States) -- original Australian release was 1979, US release delayed to 1980</t>
  </si>
  <si>
    <t>Action, Adventure, Sci-Fi</t>
  </si>
  <si>
    <t>2.39:1</t>
  </si>
  <si>
    <t>Mono (original release); DTS; Dolby Digital</t>
  </si>
  <si>
    <t>$300,000 (estimated)</t>
  </si>
  <si>
    <t>$8,775,301 (worldwide); $8,750,000 (US &amp; Canada)</t>
  </si>
  <si>
    <t>Kennedy Miller Productions, Mad Max Films, Soundfirm</t>
  </si>
  <si>
    <t>No confirmado en la pagina principal -- revisar /companycredits</t>
  </si>
  <si>
    <t>6 wins &amp; 11 nominations total</t>
  </si>
  <si>
    <t>Pobjesnjeli Max</t>
  </si>
  <si>
    <t>Seaford Beach, Seaford, Victoria, Australia (Toecutter gang beach scenes)</t>
  </si>
  <si>
    <t>dystopia; motorcycle gang; revenge; outlaw gang; biker</t>
  </si>
  <si>
    <t>No (original; spawned Mad Max 2/The Road Warrior, Beyond Thunderdome, Fury Road, Furiosa)</t>
  </si>
  <si>
    <t>James McCausland &amp; George Miller (screenplay); George Miller &amp; Byron Kennedy (original story)</t>
  </si>
  <si>
    <t>Related interests: B-Action, Car Action, Desert Adventure, Dystopian Sci-Fi, One-Person Army Action, Psychological Thriller.</t>
  </si>
  <si>
    <t>mad[1069:3]</t>
  </si>
  <si>
    <t>Alien</t>
  </si>
  <si>
    <t>confirmed https://tel.yandex.ru/video/preview/9079848794670881205 - https://www.zhihu.com/column/p/27191460</t>
  </si>
  <si>
    <t>Ridley Scott</t>
  </si>
  <si>
    <t>Tom Skerritt, John Hurt, Veronica Cartwright, Harry Dean Stanton, Ian Holm, Yaphet Kotto</t>
  </si>
  <si>
    <t>June 22, 1979 (United States)</t>
  </si>
  <si>
    <t>Horror, Sci-Fi</t>
  </si>
  <si>
    <t>2.39:1 (also 2.20:1, 70mm prints)</t>
  </si>
  <si>
    <t>70 mm 6-Track (70 mm prints); Dolby Stereo (35 mm prints)</t>
  </si>
  <si>
    <t>$11,000,000 (estimated)</t>
  </si>
  <si>
    <t>$109,726,643 (worldwide); $84,206,106 (US &amp; Canada)</t>
  </si>
  <si>
    <t>20th Century Fox, Brandywine Productions, Scott Free Productions</t>
  </si>
  <si>
    <t>Won 1 Oscar; 19 wins &amp; 22 nominations total</t>
  </si>
  <si>
    <t>Alien, el octavo pasajero (Spanish title)</t>
  </si>
  <si>
    <t>Shepperton Studios, Shepperton, Surrey, England, UK</t>
  </si>
  <si>
    <t>outer space; spaceship; monster; space travel; android; survival</t>
  </si>
  <si>
    <t>No (original; spawned Aliens, Alien 3, Alien Resurrection, Prometheus, Covenant, Alien: Romulus)</t>
  </si>
  <si>
    <t>Dan O'Bannon (screenplay &amp; story); Ronald Shusett (story)</t>
  </si>
  <si>
    <t>Related interests: Alien, Alien Invasion, Cyberpunk, Monster Horror, Space Sci-Fi.</t>
  </si>
  <si>
    <t>Apocalypse Now</t>
  </si>
  <si>
    <t>confirmed https://www.facebook.com/cinemamonamourpage/posts/apocalypse-now-1979-dir-francis-ford-coppola-its-impossible-for-words-to-describ/1445522605545172/</t>
  </si>
  <si>
    <t>Francis Ford Coppola</t>
  </si>
  <si>
    <t>Martin Sheen</t>
  </si>
  <si>
    <t>Frederic Forrest, Sam Bottoms, Laurence Fishburne, Albert Hall, Harrison Ford, Dennis Hopper</t>
  </si>
  <si>
    <t>English, French, Vietnamese</t>
  </si>
  <si>
    <t>August 15, 1979 (United States)</t>
  </si>
  <si>
    <t>Drama, Mystery, War</t>
  </si>
  <si>
    <t>Color (Technicolor)</t>
  </si>
  <si>
    <t>2.39:1 (also 2.20:1 70mm prints, 2.00:1 DVD/Univisium)</t>
  </si>
  <si>
    <t>70 mm 6-Track (70 mm prints); Dolby Stereo (35 mm prints); [Redux: Dolby Digital/DTS; Final Cut: Dolby Atmos]</t>
  </si>
  <si>
    <t>$31,500,000 (estimated)</t>
  </si>
  <si>
    <t>$105,513,178 (worldwide); $96,074,376 (US &amp; Canada)</t>
  </si>
  <si>
    <t>American Zoetrope, Zoetrope Studios</t>
  </si>
  <si>
    <t>No confirmado en pagina principal -- revisar /companycredits (distribuidor original: United Artists)</t>
  </si>
  <si>
    <t>Won 2 Oscars; 21 wins &amp; 33 nominations total</t>
  </si>
  <si>
    <t>Apocalipsis ahora (Spanish title)</t>
  </si>
  <si>
    <t>Baler Bay, Baler, Aurora, Philippines (beach with soldiers surfing)</t>
  </si>
  <si>
    <t>vietnam war; jungle; insanity; secret mission; vietnam; anti war</t>
  </si>
  <si>
    <t>No (standalone; has a distinct 2001 'Redux' re-edit and a 'Final Cut', not sequels)</t>
  </si>
  <si>
    <t>John Milius (written by); Francis Ford Coppola (written by); Michael Herr (narration); Joseph Conrad (based on the novella 'Heart of Darkness', uncredited)</t>
  </si>
  <si>
    <t>Multiple official cuts exist (Theatrical 147min / Redux 202min / Final Cut 182min / Workprint 330min) with different sound mixes and aspect ratios per version -- 'exact' technical specs are version-dependent.</t>
  </si>
  <si>
    <t>now[1209:3]</t>
  </si>
  <si>
    <t>Escape from Alcatraz</t>
  </si>
  <si>
    <t>confirmed https://www.youtube.com/watch?v=UMCP_R2MLhg</t>
  </si>
  <si>
    <t>Don Siegel</t>
  </si>
  <si>
    <t>Clint Eastwood</t>
  </si>
  <si>
    <t>Patrick McGoohan, Roberts Blossom, Jack Thibeau, Fred Ward, Paul Benjamin, Larry Hankin</t>
  </si>
  <si>
    <t>Biography, Crime, Drama</t>
  </si>
  <si>
    <t>PG</t>
  </si>
  <si>
    <t>1.85:1</t>
  </si>
  <si>
    <t>Mono; Dolby Digital</t>
  </si>
  <si>
    <t>$8,000,000 (estimated)</t>
  </si>
  <si>
    <t>$43,005,351 (worldwide); $43,000,000 (US &amp; Canada)</t>
  </si>
  <si>
    <t>Paramount Pictures, The Malpaso Company</t>
  </si>
  <si>
    <t>Paramount Pictures</t>
  </si>
  <si>
    <t>Sin premios principales listados en la pagina de IMDb (no Oscar/BAFTA mentions)</t>
  </si>
  <si>
    <t>Alcatraz. Fuga imposible (Spanish title)</t>
  </si>
  <si>
    <t>Alcatraz Prison, Alcatraz Island, San Francisco Bay, California, USA</t>
  </si>
  <si>
    <t>prison; group shower; man in a shower; alcatraz; island; pet mouse</t>
  </si>
  <si>
    <t>No (standalone; based on true events and J. Campbell Bruce's book)</t>
  </si>
  <si>
    <t>J. Campbell Bruce (book); Richard Tuggle (screenplay)</t>
  </si>
  <si>
    <t>Related interests: Prison Drama, Biography, Crime, Drama, Thriller. Final Eastwood/Siegel collaboration (5th and last film together).</t>
  </si>
  <si>
    <t>escape[616:6]</t>
  </si>
  <si>
    <t>The Goonies</t>
  </si>
  <si>
    <t>confirmed https://www.themoviedb.org/movie/9340-the-goonies/images/backdrops?language=es-ES</t>
  </si>
  <si>
    <t>Richard Donner</t>
  </si>
  <si>
    <t>Sean Astin</t>
  </si>
  <si>
    <t>Josh Brolin, Jeff Cohen, Corey Feldman, Kerri Green, Martha Plimpton, Ke Huy Quan</t>
  </si>
  <si>
    <t>English, Spanish, Cantonese, Italian</t>
  </si>
  <si>
    <t>June 7, 1985 (United States)</t>
  </si>
  <si>
    <t>Adventure, Comedy, Family</t>
  </si>
  <si>
    <t>$19,000,000 (estimated)</t>
  </si>
  <si>
    <t>$65,645,243 (worldwide); $64,347,714 (US &amp; Canada)</t>
  </si>
  <si>
    <t>Warner Bros., Amblin Entertainment</t>
  </si>
  <si>
    <t>Warner Bros.</t>
  </si>
  <si>
    <t>4 wins &amp; 8 nominations total</t>
  </si>
  <si>
    <t>Los Goonies (Spanish title)</t>
  </si>
  <si>
    <t>Cannon Beach, Oregon, USA (truck rally in the opening)</t>
  </si>
  <si>
    <t>treasure hunt; treasure map; pirate; group of friends; treasure; teenager</t>
  </si>
  <si>
    <t>No (standalone cult favorite; a sequel has been rumored for decades but never made)</t>
  </si>
  <si>
    <t>Chris Columbus (screenplay by); Steven Spielberg (story by)</t>
  </si>
  <si>
    <t>Related interests: Quest, Slapstick, Teen Adventure, Teen Comedy, Adventure, Comedy, Family. Also has a 94-min US TV edit.</t>
  </si>
  <si>
    <t>chunk[325:5]; gold[802:4]; cave[294:4]; piano[1312:5]; skull[1622:5]  [TOP-5 CURADAS 2026-08-20, ver leads.md]</t>
  </si>
  <si>
    <t>[Nivel 2 -- candidatos de keywords IMDb NO promovidos a la corrida actual, no son substrings inferiores en el sentido original de esta columna, solo un segundo nivel de prioridad, ver leads.md "Curado top-5 por panel"]: one[1237:3]; brand[216:5]; gadget[757:6]; beach[155:5]; rescue[1465:6]; legend[1020:6]; chase[309:5]; sword[1762:5]; coin[363:4]; toilet[1822:6]; bicycle[175:7]; tunnel[1876:6]; jewel[959:5]; pizza[1325:5]; fire[697:4]; sheriff[1580:7]; forest[729:6]; child[319:5]; trap[1850:4]; ship[1584:4]; pistol[1323:6]; arrest[99:6]; organ[1251:5]; asthma[112:6]; book[204:4]; knife[989:5]; escape[616:6]; marble[1085:6]; camera[261:6]; kiss[982:4]; thunder[1804:7]; rain[1416:4]; wish[2020:4]; police[1341:6]; hidden[859:6]; danger[443:6]; humor[888:5]</t>
  </si>
  <si>
    <t>Spartacus</t>
  </si>
  <si>
    <t>confirmed https://www.moviestore.com/spartacus-1960-kirk-douglas-in-romantic-scene-with-jean-simmons-11x17-poster/ - https://www.youtube.com/watch?v=AsBLdj7OyXc</t>
  </si>
  <si>
    <t>Tony Curtis, Jean Simmons, Charles Laughton, Peter Ustinov, John Gavin, Nina Foch</t>
  </si>
  <si>
    <t>November 17, 1960 (Brazil) -- IMPORTANTE: la fecha de estreno 'principal' que muestra IMDb hoy es la de Brasil, no la de EEUU</t>
  </si>
  <si>
    <t>Adventure, Biography, Drama, History, War</t>
  </si>
  <si>
    <t>2.20:1 (70mm prints); 2.39:1 (35mm, 1991 rerelease); 2.25:1 (negative ratio); 2.35:1 (35mm prints)</t>
  </si>
  <si>
    <t>70 mm 6-Track (70 mm prints, Westrex); Mono (35 mm prints, Westrex); Dolby Stereo (35mm, 1991 restoration); DTS:X</t>
  </si>
  <si>
    <t>$12,000,000 (estimated)</t>
  </si>
  <si>
    <t>$1,858,490 (worldwide, as tracked by IMDb -- this figure reflects only the 1991 re-release, not the original 1960 theatrical run)</t>
  </si>
  <si>
    <t>No confirmado en pagina principal (distribuidor original historico: Universal Pictures) -- revisar /companycredits</t>
  </si>
  <si>
    <t>Won 4 Oscars; 12 wins &amp; 11 nominations total</t>
  </si>
  <si>
    <t>Espartaco (Spanish title)</t>
  </si>
  <si>
    <t>Hearst Castle, San Simeon, California, USA (Crassus' villa)</t>
  </si>
  <si>
    <t>gladiator; slave rebellion; roman republic; ancient rome; human branding</t>
  </si>
  <si>
    <t>No (standalone)</t>
  </si>
  <si>
    <t>Dalton Trumbo (screenplay); Howard Fast (based on the novel); Plutarch (uncredited); Peter Ustinov (uncredited); Calder Willingham (battle scenes, uncredited)</t>
  </si>
  <si>
    <t>DISCREPANCIA IMPORTANTE: IMDb muestra hoy la certificacion como PG-13, NO 'Approved' como esta registrado en films.csv/la plantilla -- revisar. Kubrick reemplazo a Anthony Mann como director a las 3 semanas de rodaje.</t>
  </si>
  <si>
    <t>(ninguna palabra literal ni sourced -- panel sin candidato bajo ningun criterio probado hasta ahora)</t>
  </si>
  <si>
    <t>Mission: Impossible</t>
  </si>
  <si>
    <t>confirmed https://www.reddit.com/r/Millennials/comments/1irnl6d/in_mission_impossible_1996_tom_cruise_tries/</t>
  </si>
  <si>
    <t>Brian De Palma</t>
  </si>
  <si>
    <t>Tom Cruise</t>
  </si>
  <si>
    <t>Emmanuelle Beart, Henry Czerny, Jean Reno, Ving Rhames, Kristin Scott Thomas, Vanessa Redgrave</t>
  </si>
  <si>
    <t>English, French, Czech</t>
  </si>
  <si>
    <t>May 22, 1996 (United States)</t>
  </si>
  <si>
    <t>Action, Adventure, Thriller</t>
  </si>
  <si>
    <t>PG-13</t>
  </si>
  <si>
    <t>DTS; Dolby Digital; SDDS</t>
  </si>
  <si>
    <t>$80,000,000 (estimated)</t>
  </si>
  <si>
    <t>$457,696,391 (worldwide); $180,981,856 (US &amp; Canada)</t>
  </si>
  <si>
    <t>Paramount Pictures, Cruise/Wagner Productions</t>
  </si>
  <si>
    <t>3 wins &amp; 17 nominations total</t>
  </si>
  <si>
    <t>Mision: Imposible (Spanish title)</t>
  </si>
  <si>
    <t>Charles Bridge, Old Town, Prague, Czech Republic (Jim's fall into the Vltava)</t>
  </si>
  <si>
    <t>train; betrayal; murder; fugitive; disguise; helicopter</t>
  </si>
  <si>
    <t>No (original film; based on the 1966-73 TV series; spawned Mission: Impossible franchise, now 8 films)</t>
  </si>
  <si>
    <t>Bruce Geller (television series); David Koepp &amp; Steven Zaillian (story); David Koepp &amp; Robert Towne (screenplay)</t>
  </si>
  <si>
    <t>Related interests: Mission: Impossible, Conspiracy Thriller, One-Person Army Action, Spy, Action, Adventure, Thriller.</t>
  </si>
  <si>
    <t>miss[1134:4]; possible[1348:8]; train[1848:5]; spy[1690:3]; gadget[757:6]; escape[616:6]; bomb[201:4]; magic[1070:5]; subway[1729:6]</t>
  </si>
  <si>
    <t>Godzilla</t>
  </si>
  <si>
    <t>confirmed by my own EYES, i saw it for this.</t>
  </si>
  <si>
    <t>Roland Emmerich</t>
  </si>
  <si>
    <t>Matthew Broderick</t>
  </si>
  <si>
    <t>Jean Reno, Maria Pitillo, Hank Azaria, Kevin Dunn, Michael Lerner, Harry Shearer</t>
  </si>
  <si>
    <t>United States, Japan</t>
  </si>
  <si>
    <t>English, French, Japanese, Russian, Spanish</t>
  </si>
  <si>
    <t>May 20, 1998 (United States)</t>
  </si>
  <si>
    <t>Action, Sci-Fi, Thriller</t>
  </si>
  <si>
    <t>no listado explicitamente como campo separado (pelicula a color)</t>
  </si>
  <si>
    <t>DTS; Dolby Digital</t>
  </si>
  <si>
    <t>$130,000,000 (estimated)</t>
  </si>
  <si>
    <t>$379,014,294 (worldwide); $136,314,294 (US &amp; Canada)</t>
  </si>
  <si>
    <t>TriStar Pictures, Centropolis Entertainment, Centropolis Film Productions</t>
  </si>
  <si>
    <t>TriStar Pictures</t>
  </si>
  <si>
    <t>10 wins &amp; 13 nominations total</t>
  </si>
  <si>
    <t>Quai Vat Godzilla (Vietnamese title, only AKA listed)</t>
  </si>
  <si>
    <t>Kualoa Ranch - 49560 Kamehameha Highway, Ka'a'awa, O'ahu, Hawaii, USA</t>
  </si>
  <si>
    <t>giant monster; iguana; military; giant footprint; monster; female reporter</t>
  </si>
  <si>
    <t>Si -- reboot/reimagining of the Japanese Godzilla franchise (Toho); not a direct sequel to any prior film</t>
  </si>
  <si>
    <t>Dean Devlin &amp; Roland Emmerich (screenplay &amp; story); Ted Elliott &amp; Terry Rossio (story, credit only)</t>
  </si>
  <si>
    <t>Related interests: Godzilla, Action Epic, Dinosaur Adventure, Disaster, Kaiju, Sci-Fi Epic, Survival. Widely disliked by Godzilla fandom as 'GINO' (Godzilla In Name Only).</t>
  </si>
  <si>
    <t>ill[903:3]</t>
  </si>
  <si>
    <t>Life of Pi</t>
  </si>
  <si>
    <t>confirmed https://www.nytimes.com/video/movies/100000001911379/clip-life-of-pi.html</t>
  </si>
  <si>
    <t>Ang Lee</t>
  </si>
  <si>
    <t>Suraj Sharma</t>
  </si>
  <si>
    <t>Irrfan Khan, Ayush Tandon, Adil Hussain, Tabu, Rafe Spall, Gerard Depardieu</t>
  </si>
  <si>
    <t>United States, Taiwan, United Kingdom, Canada, India, France</t>
  </si>
  <si>
    <t>English, Hindi, Japanese, French</t>
  </si>
  <si>
    <t>November 21, 2012 (United States)</t>
  </si>
  <si>
    <t>Adventure, Drama, Fantasy</t>
  </si>
  <si>
    <t>Dolby; Datasat; SDDS; Dolby Atmos; Dolby Surround 7.1; Sonics-DDP</t>
  </si>
  <si>
    <t>$120,000,000 (estimated)</t>
  </si>
  <si>
    <t>$609,016,565 (worldwide); $124,987,023 (US &amp; Canada)</t>
  </si>
  <si>
    <t>Fox 2000 Pictures, Dune Entertainment, Ingenious Media</t>
  </si>
  <si>
    <t>20th Century Fox (Fox 2000 Pictures)</t>
  </si>
  <si>
    <t>Won 4 Oscars; 81 wins &amp; 134 nominations total</t>
  </si>
  <si>
    <t>Una aventura extraordinaria (Spanish title)</t>
  </si>
  <si>
    <t>Grafton, Auckland, New Zealand (Train Station)</t>
  </si>
  <si>
    <t>tiger; india; lifeboat; survivor; journey; faith</t>
  </si>
  <si>
    <t>No (standalone; based on Yann Martel's novel)</t>
  </si>
  <si>
    <t>Yann Martel (novel); David Magee (screenplay)</t>
  </si>
  <si>
    <t>Related interests: Adventure Epic, Epic, Fantasy Epic, Sea Adventure, Survival, Teen Adventure, Teen Drama, Teen Fantasy. 6-country co-production.</t>
  </si>
  <si>
    <t>life[1034:4]</t>
  </si>
  <si>
    <t>Leon: The Professional</t>
  </si>
  <si>
    <t>confirmed https://www.imdb.com/es/title/tt0110413/mediaviewer/rm1161681665/</t>
  </si>
  <si>
    <t>Luc Besson</t>
  </si>
  <si>
    <t>Jean Reno</t>
  </si>
  <si>
    <t>Gary Oldman, Natalie Portman, Danny Aiello, Peter Appel, Michael Badalucco, Ellen Greene</t>
  </si>
  <si>
    <t>France, United States</t>
  </si>
  <si>
    <t>English, Italian, French</t>
  </si>
  <si>
    <t>November 18, 1994 (United States)</t>
  </si>
  <si>
    <t>Action, Crime, Drama</t>
  </si>
  <si>
    <t>Dolby Digital; Dolby Atmos</t>
  </si>
  <si>
    <t>$16,000,000 (estimated)</t>
  </si>
  <si>
    <t>$20,330,788 (worldwide); $19,501,238 (US &amp; Canada)</t>
  </si>
  <si>
    <t>Columbia Pictures, Gaumont, Les Films du Dauphin</t>
  </si>
  <si>
    <t>Columbia Pictures (Gaumont in France)</t>
  </si>
  <si>
    <t>5 wins &amp; 16 nominations total</t>
  </si>
  <si>
    <t>El perfecto asesino (Spanish title); original title 'Leon'</t>
  </si>
  <si>
    <t>Paris, France (Leon's apartment interiors)</t>
  </si>
  <si>
    <t>hitman; revenge; killer child; mentor student relationship; assassin; loss of family</t>
  </si>
  <si>
    <t>No (standalone; loose spiritual follow-up to Besson's Nikita, different characters)</t>
  </si>
  <si>
    <t>Luc Besson (written by)</t>
  </si>
  <si>
    <t>Related interests: Gangster, One-Person Army Action, Tragedy, Action, Crime, Drama, Thriller. Also known as just 'Leon' (original French title); a longer 'Director's Cut'/'Version Integrale' exists.</t>
  </si>
  <si>
    <t>milk[1124:4]; gun[831:3]; shield[1581:6]; pistol[1323:6]; crush[424:5]  [TOP-5 CURADAS 2026-08-20, ver leads.md]</t>
  </si>
  <si>
    <t>[Nivel 2 -- candidatos de keywords IMDb NO promovidos a la corrida actual, no son substrings inferiores en el sentido original de esta columna, solo un segundo nivel de prioridad, ver leads.md "Curado top-5 por panel"]: girl[786:4]; police[1341:6]; elevator[575:8]; hotel[881:5]; love[1059:4]; knife[989:5]; weapon[1986:6]</t>
  </si>
  <si>
    <t>The Man in the Iron Mask</t>
  </si>
  <si>
    <t>confirmed i saw the movie and https://www.instagram.com/reels/Dbn8bVPkeFu/</t>
  </si>
  <si>
    <t>Randall Wallace</t>
  </si>
  <si>
    <t>Leonardo DiCaprio</t>
  </si>
  <si>
    <t>Jeremy Irons, John Malkovich, Gerard Depardieu, Gabriel Byrne, Anne Parillaud, Judith Godreche</t>
  </si>
  <si>
    <t>English, Italian</t>
  </si>
  <si>
    <t>March 13, 1998 (United States)</t>
  </si>
  <si>
    <t>Action, Adventure, Drama</t>
  </si>
  <si>
    <t>DTS; DTS-Stereo</t>
  </si>
  <si>
    <t>$35,000,000 (estimated)</t>
  </si>
  <si>
    <t>$182,968,902 (worldwide); $56,968,902 (US &amp; Canada)</t>
  </si>
  <si>
    <t>United Artists</t>
  </si>
  <si>
    <t>United Artists / MGM</t>
  </si>
  <si>
    <t>3 wins &amp; 4 nominations total</t>
  </si>
  <si>
    <t>El hombre de la mascara de hierro (Spanish title)</t>
  </si>
  <si>
    <t>Royal Chateau of Fontainebleau, Fontainebleau, Seine-et-Marne, France</t>
  </si>
  <si>
    <t>france; twin; musketeer; two brothers; outnumbered</t>
  </si>
  <si>
    <t>No (standalone; adapts Dumas' Musketeers novels, unrelated to any of the earlier Musketeers film adaptations as a franchise entry)</t>
  </si>
  <si>
    <t>Alexandre Dumas (novels 'Vingt ans apres' and 'Le Vicomte de Bragelonne'); Randall Wallace (screenplay)</t>
  </si>
  <si>
    <t>Related interests: Period Drama, Swashbuckler, Action, Adventure, Drama. DiCaprio plays a dual role (King Louis / Philippe).</t>
  </si>
  <si>
    <t>man[1078:3]; iron[946:4]; mask[1091:4]; twin[1883:4]; guard[826:5]; river[1494:5]; horse[878:5]</t>
  </si>
  <si>
    <t>ask (en 'Mask', domina 'mask')</t>
  </si>
  <si>
    <t>The Crimson Rivers</t>
  </si>
  <si>
    <t>confirmed https://whsnyderjr.blogspot.com/2011/07/</t>
  </si>
  <si>
    <t>Mathieu Kassovitz</t>
  </si>
  <si>
    <t>Vincent Cassel, Nadia Fares, Dominique Sanda, Karim Belkhadra, Jean-Pierre Cassel, Didier Flamand</t>
  </si>
  <si>
    <t>France</t>
  </si>
  <si>
    <t>French</t>
  </si>
  <si>
    <t>July 13, 2001 (United States) -- fecha de estreno en EEUU; en Francia se estreno en 2000</t>
  </si>
  <si>
    <t>Crime, Mystery, Thriller</t>
  </si>
  <si>
    <t>2.35:1</t>
  </si>
  <si>
    <t>$14,000,000 (estimated)</t>
  </si>
  <si>
    <t>$60,103,680 (worldwide); $594,966 (US &amp; Canada)</t>
  </si>
  <si>
    <t>Legende Films, Gaumont, TF1 Films Production</t>
  </si>
  <si>
    <t>Gaumont (France) / Legende (US limited release)</t>
  </si>
  <si>
    <t>1 win &amp; 6 nominations total</t>
  </si>
  <si>
    <t>Los rios purpura (Spanish title); original title 'Les rivieres pourpres'</t>
  </si>
  <si>
    <t>Argentiere, Mont-Blanc, Chamonix, Haute-Savoie, France</t>
  </si>
  <si>
    <t>child; scene of the crime; climbing a wall; france; exhumation</t>
  </si>
  <si>
    <t>No (standalone; spawned a sequel 'Crimson Rivers 2: Angels of the Apocalypse' in 2004 without Kassovitz directing)</t>
  </si>
  <si>
    <t>Jean-Christophe Grange (novel 'Red Blood Rivers'); Jean-Christophe Grange &amp; Mathieu Kassovitz (screenplay)</t>
  </si>
  <si>
    <t>Related interests: French, Conspiracy Thriller, Psychological Thriller, Suspense Mystery, Whodunnit, Crime, Mystery, Thriller.</t>
  </si>
  <si>
    <t>river[1494:5]</t>
  </si>
  <si>
    <t>The Visitors</t>
  </si>
  <si>
    <t>confirmed https://www.schnittberichte.com/schnittbericht.php?ID=27067</t>
  </si>
  <si>
    <t>Jean-Marie Poire</t>
  </si>
  <si>
    <t>Christian Clavier</t>
  </si>
  <si>
    <t>Jean Reno, Valerie Lemercier, Marie-Anne Chazel, Christian Bujeau, Isabelle Nanty, Gerard Sety</t>
  </si>
  <si>
    <t>French, German, English</t>
  </si>
  <si>
    <t>July 12, 1996 (United States) -- fecha de estreno en EEUU; en Francia se estreno en 1993</t>
  </si>
  <si>
    <t>Comedy, Fantasy</t>
  </si>
  <si>
    <t>Dolby</t>
  </si>
  <si>
    <t>FRF 50,000,000 (estimated)</t>
  </si>
  <si>
    <t>$659,810 (worldwide -- solo taquilla de EEUU/Canada reportada, no incluye el gran exito de taquilla en Francia)</t>
  </si>
  <si>
    <t>Alpilles Productions, Amigo Productions, Canal+</t>
  </si>
  <si>
    <t>Miramax (US, delayed to 1996) / Gaumont Buena Vista International (France)</t>
  </si>
  <si>
    <t>1 win &amp; 8 nominations total</t>
  </si>
  <si>
    <t>Les visiteurs (original French title, used as-is as AKA)</t>
  </si>
  <si>
    <t>Chateau d'Ermenonville, Ermenonville, Oise, France (Montmirail Castle, modern times)</t>
  </si>
  <si>
    <t>time travel; trapped in the past; knight; car; french car</t>
  </si>
  <si>
    <t>No (original; spawned The Visitors II: The Corridors of Time, The Visitors: Bastille Day, and a US remake 'Just Visiting')</t>
  </si>
  <si>
    <t>Christian Clavier &amp; Jean-Marie Poire (writers)</t>
  </si>
  <si>
    <t>Related interests: French, Farce, Satire, Comedy, Fantasy. US release delayed 3 years; Mel Brooks-scripted English dub was rejected in favor of subtitles.</t>
  </si>
  <si>
    <t>visit[1958:5]</t>
  </si>
  <si>
    <t>A Clockwork Orange</t>
  </si>
  <si>
    <t>confirmed https://www.imdb.com/es-es/title/tt0066921/mediaviewer/rm2734594561/?reasonForLanguagePrompt=browser_header_mismatch</t>
  </si>
  <si>
    <t>Malcolm McDowell</t>
  </si>
  <si>
    <t>Patrick Magee, Michael Bates, Warren Clarke, Adrienne Corri, Miriam Karlin, Aubrey Morris</t>
  </si>
  <si>
    <t>February 2, 1972 (United States)</t>
  </si>
  <si>
    <t>Crime, Sci-Fi</t>
  </si>
  <si>
    <t>Color, Black and White</t>
  </si>
  <si>
    <t>$2,200,000 (estimated)</t>
  </si>
  <si>
    <t>$27,193,679 (worldwide); $26,617,553 (US &amp; Canada)</t>
  </si>
  <si>
    <t>Warner Bros., Polaris Productions, Hawk Films</t>
  </si>
  <si>
    <t>Nominated for 4 Oscars; 12 wins &amp; 26 nominations total</t>
  </si>
  <si>
    <t>Naranja mecanica (Spanish title)</t>
  </si>
  <si>
    <t>Binsey Walk, Southmere Lake, Thamesmead South, London, England, UK</t>
  </si>
  <si>
    <t>dystopia; psychopath; sex crime; forced to watch rape; police brutality</t>
  </si>
  <si>
    <t>No (standalone; based on Anthony Burgess' novel)</t>
  </si>
  <si>
    <t>Stanley Kubrick (screenplay); Anthony Burgess (novel)</t>
  </si>
  <si>
    <t>Related interests: Dark Comedy, Dystopian Sci-Fi, Crime, Sci-Fi. Kubrick personally withdrew the film from UK distribution 1973-2000 after threats; re-rated from X to R in 1973 with ~31 sec cut.</t>
  </si>
  <si>
    <t>clock[347:5]; orange[1246:6]; range[1422:5]; work[2028:4]; chair[302:5]</t>
  </si>
  <si>
    <t>range (en 'Orange', domina 'orange')</t>
  </si>
  <si>
    <t>Star Wars: A New Hope</t>
  </si>
  <si>
    <t>confirmed https://www.reddit.com/r/StarWars/comments/15rte7r/rogue_one_thankfully_redeemed_the_tantive_iv/?tl=es-es</t>
  </si>
  <si>
    <t>George Lucas</t>
  </si>
  <si>
    <t>Mark Hamill</t>
  </si>
  <si>
    <t>Harrison Ford, Carrie Fisher, Peter Cushing, Alec Guinness, Anthony Daniels, Kenny Baker</t>
  </si>
  <si>
    <t>May 25, 1977 (United States)</t>
  </si>
  <si>
    <t>Action, Adventure, Fantasy</t>
  </si>
  <si>
    <t>2.35:1 (theatrical ratio)</t>
  </si>
  <si>
    <t>Dolby Stereo (35mm prints); 70mm 6-Track (70mm prints); Mono (35mm prints)</t>
  </si>
  <si>
    <t>$775,398,507 (worldwide); $460,998,507 (US &amp; Canada)</t>
  </si>
  <si>
    <t>Lucasfilm, 20th Century Fox</t>
  </si>
  <si>
    <t>Won 6 Oscars; 70 wins &amp; 31 nominations total</t>
  </si>
  <si>
    <t>La guerra de las estrellas (Spanish title); original title 'Star Wars'</t>
  </si>
  <si>
    <t>Tikal National Park, Guatemala (fourth moon of Yavin)</t>
  </si>
  <si>
    <t>rebellion; princess; space opera; good versus evil; jedi</t>
  </si>
  <si>
    <t>No (original film; started the Star Wars franchise, later retitled 'Episode IV - A New Hope')</t>
  </si>
  <si>
    <t>George Lucas (written by)</t>
  </si>
  <si>
    <t>Related interests: Star Wars, Adventure Epic, Fantasy Epic, Quest, Sci-Fi Epic, Space Sci-Fi, Sword &amp; Sorcery. No opening crawl-only credits (unusual for 1977). Tiene categoria de keyword 'Franchise' en IMDb (star wars).</t>
  </si>
  <si>
    <t>hope[875:4]</t>
  </si>
  <si>
    <t>Gravity</t>
  </si>
  <si>
    <t>confirmed https://www.researchgate.net/figure/Figura-2-A-primeira-aparicao-de-Sandra-Bullock-no-filme-a-vida-de-cabeca-para-baixo_fig2_344146193 - https://paperflowersanddreams.tumblr.com/post/821442735105015809/embed</t>
  </si>
  <si>
    <t>Alfonso Cuaron</t>
  </si>
  <si>
    <t>Sandra Bullock</t>
  </si>
  <si>
    <t>George Clooney, Ed Harris, Orto Ignatiussen, Phaldut Sharma, Amy Warren, Basher Savage</t>
  </si>
  <si>
    <t>English, Greenlandic</t>
  </si>
  <si>
    <t>October 4, 2013 (United States)</t>
  </si>
  <si>
    <t>Drama, Sci-Fi, Thriller</t>
  </si>
  <si>
    <t>Datasat; Dolby Digital; Dolby Atmos; SDDS; Dolby Surround 7.1</t>
  </si>
  <si>
    <t>$100,000,000 (estimated)</t>
  </si>
  <si>
    <t>$723,902,361 (worldwide); $274,092,705 (US &amp; Canada)</t>
  </si>
  <si>
    <t>Warner Bros., Esperanto Filmoj, Heyday Films</t>
  </si>
  <si>
    <t>Won 7 Oscars; 242 wins &amp; 189 nominations total</t>
  </si>
  <si>
    <t>Gravedad (Spanish title)</t>
  </si>
  <si>
    <t>Filmed entirely on soundstages/CGI -- IMDb lists 'Space (Earth's orbit)' as the only filming location</t>
  </si>
  <si>
    <t>space station; sole survivor; female protagonist; self sacrifice; space; suspense</t>
  </si>
  <si>
    <t>Alfonso Cuaron &amp; Jonas Cuaron (written by)</t>
  </si>
  <si>
    <t>Related interests: Disaster, Epic, Sci-Fi Epic, Space Sci-Fi, Survival, Drama, Sci-Fi, Thriller. Almost entirely a two-hander (7 credited cast members total).</t>
  </si>
  <si>
    <t>gravity[816:7]</t>
  </si>
  <si>
    <t>First Man</t>
  </si>
  <si>
    <t>confirmed https://www.reddit.com/r/CineShots/comments/1qhvitd/first_man_2018/</t>
  </si>
  <si>
    <t>Damien Chazelle</t>
  </si>
  <si>
    <t>Ryan Gosling</t>
  </si>
  <si>
    <t>Claire Foy, Jason Clarke, Kyle Chandler, Corey Stoll, Patrick Fugit, Ciaran Hinds</t>
  </si>
  <si>
    <t>United States, China, Japan</t>
  </si>
  <si>
    <t>October 12, 2018 (United States)</t>
  </si>
  <si>
    <t>Biography, Drama, History</t>
  </si>
  <si>
    <t>Dolby Atmos; Dolby Digital; IMAX 6-Track; 12-Track Digital Sound; Dolby Surround 7.1; Sonics-DDP; SDDS</t>
  </si>
  <si>
    <t>$59,000,000 (estimated)</t>
  </si>
  <si>
    <t>$105,713,218 (worldwide); $44,936,545 (US &amp; Canada)</t>
  </si>
  <si>
    <t>Universal Pictures, DreamWorks Pictures, Perfect World Pictures</t>
  </si>
  <si>
    <t>Universal Pictures</t>
  </si>
  <si>
    <t>Won 1 Oscar; 32 wins &amp; 193 nominations total</t>
  </si>
  <si>
    <t>El primer hombre en la luna (Spanish title)</t>
  </si>
  <si>
    <t>Cape Canaveral, Florida, USA (Kennedy Space Center)</t>
  </si>
  <si>
    <t>moon landing; astronaut; apollo program; rocket; grief</t>
  </si>
  <si>
    <t>No (standalone biopic of Neil Armstrong)</t>
  </si>
  <si>
    <t>Josh Singer (screenplay); James R. Hansen (based on the book)</t>
  </si>
  <si>
    <t>Related interests: Docudrama, Period Drama, Tragedy, Biography, Drama, History.</t>
  </si>
  <si>
    <t>first[699:5]; man[1078:3]; moon[1148:4]; rocket[1499:6]; marriage[1090:8]</t>
  </si>
  <si>
    <t>Solaris</t>
  </si>
  <si>
    <t>confirmed https://www.youtube.com/watch?v=AQmUILaso54</t>
  </si>
  <si>
    <t>Andrei Tarkovsky (1972) / Steven Soderbergh (2002) -- CONFIRM WHICH</t>
  </si>
  <si>
    <t>George Clooney (2002) / Donatas Banionis (1972)</t>
  </si>
  <si>
    <t>Jueri Jaervet, Vladislav Dvorzhetskiy, Nikolay Grinko, Anatoliy Solonitsyn, Olga Barnet, Sos Sargsyan</t>
  </si>
  <si>
    <t>Soviet Union</t>
  </si>
  <si>
    <t>Russian, German</t>
  </si>
  <si>
    <t>September 26, 1972 (Czechoslovakia) -- fecha de estreno principal que muestra IMDb hoy</t>
  </si>
  <si>
    <t>Adventure, Drama, Mystery</t>
  </si>
  <si>
    <t>RUR 1,000,000 (estimated)</t>
  </si>
  <si>
    <t>$228,894 (worldwide, as tracked -- reflects only a later US re-release in 2002, not the original 1972 Soviet run)</t>
  </si>
  <si>
    <t>Mosfilm, Chetvyortoe Tvorcheskoe Obedinenie</t>
  </si>
  <si>
    <t>No confirmado en pagina principal (distribuidor sovietico original: Mosfilm/Sovexportfilm)</t>
  </si>
  <si>
    <t>2 wins &amp; 4 nominations total</t>
  </si>
  <si>
    <t>Original title 'Solyaris'; various AKAs incl. non-Latin script title listed on IMDb</t>
  </si>
  <si>
    <t>Akasaka, Minato, Japan (Berton's car scenes -- the futuristic highway sequence)</t>
  </si>
  <si>
    <t>trapped in space; space station; scientist; alien contact; ocean</t>
  </si>
  <si>
    <t>No (standalone; based on Stanislaw Lem's novel; remade in 2002 by Steven Soderbergh with George Clooney, a separate IMDb entry tt0307479)</t>
  </si>
  <si>
    <t>Stanislaw Lem (novel); Fridrikh Gorenshteyn &amp; Andrei Tarkovsky (screenplay)</t>
  </si>
  <si>
    <t>IMPORTANTE: hay dos peliculas 'Solaris' en IMDb -- esta fila es la version 1972 de Tarkovsky (tt0069293), coincide con el Anio=1972 de la plantilla. Existe una version 2002 de Soderbergh/Clooney (tt0307479) que NO es esta fila -- confirmar cual corresponde al panel si hay duda.</t>
  </si>
  <si>
    <t>solar[1651:5]</t>
  </si>
  <si>
    <t>Blade Runner 2049</t>
  </si>
  <si>
    <t>confirmed https://www.filmink.com.au/the-movie-psychic-a-psychic-review-of-blade-runner-2049/th90_single_ajax/</t>
  </si>
  <si>
    <t>Denis Villeneuve</t>
  </si>
  <si>
    <t>Ana de Armas, Dave Bautista, Robin Wright, Sylvia Hoeks, Edward James Olmos, Jared Leto</t>
  </si>
  <si>
    <t>United States, Canada, Spain</t>
  </si>
  <si>
    <t>October 6, 2017 (United States)</t>
  </si>
  <si>
    <t>Action, Drama, Mystery</t>
  </si>
  <si>
    <t>Dolby Atmos; Auro 11.1; IMAX 6-Track; Dolby Surround 7.1; Sonics-DDP; SDDS</t>
  </si>
  <si>
    <t>$150,000,000 (estimated)</t>
  </si>
  <si>
    <t>$277,882,781 (worldwide); $92,071,675 (US &amp; Canada)</t>
  </si>
  <si>
    <t>Alcon Entertainment, Columbia Pictures, Sony</t>
  </si>
  <si>
    <t>Warner Bros. (Sony/Columbia co-financed)</t>
  </si>
  <si>
    <t>Won 2 Oscars; 101 wins &amp; 164 nominations total</t>
  </si>
  <si>
    <t>Acid Zoo (AKA listed on IMDb)</t>
  </si>
  <si>
    <t>Stock Exchange Palace, Szabadsag Square, Budapest, Hungary (casino entrance)</t>
  </si>
  <si>
    <t>environmental damage; artificial intelligence; memory implant; detective; replicant</t>
  </si>
  <si>
    <t>Si -- sequel to Blade Runner (1982), 35 years later</t>
  </si>
  <si>
    <t>Hampton Fancher &amp; Michael Green (screenplay); Hampton Fancher (story); Philip K. Dick (based on characters from 'Do Androids Dream of Electric Sheep?')</t>
  </si>
  <si>
    <t>Related interests: Blade Runner, Action Epic, Artificial Intelligence, Cyber Thriller, Cyberpunk, Dystopian Sci-Fi, Epic, Psychological Drama, Psychological Thriller, Sci-Fi Epic. No opening credits (title not shown until end).</t>
  </si>
  <si>
    <t>blade[184:5]</t>
  </si>
  <si>
    <t>Guardians of the Galaxy</t>
  </si>
  <si>
    <t>confirmed https://www.youtube.com/watch?v=0mlGc3MmOr4 - https://blog.naver.com/blackmun/222292818542</t>
  </si>
  <si>
    <t>James Gunn</t>
  </si>
  <si>
    <t>Chris Pratt</t>
  </si>
  <si>
    <t>Vin Diesel, Bradley Cooper, Zoe Saldana, Dave Bautista, Lee Pace, Michael Rooker</t>
  </si>
  <si>
    <t>United States, United Kingdom</t>
  </si>
  <si>
    <t>August 1, 2014 (United States)</t>
  </si>
  <si>
    <t>Action, Adventure, Comedy</t>
  </si>
  <si>
    <t>Datasat; Dolby Digital; Dolby Atmos; Dolby Surround 7.1; SDDS; Auro 11.1</t>
  </si>
  <si>
    <t>$170,000,000 (estimated)</t>
  </si>
  <si>
    <t>$773,350,376 (worldwide); $333,718,600 (US &amp; Canada)</t>
  </si>
  <si>
    <t>Marvel Studios, Longcross Studios, Moving Pictures Company</t>
  </si>
  <si>
    <t>Walt Disney Studios Motion Pictures</t>
  </si>
  <si>
    <t>Nominated for 2 Oscars; 53 wins &amp; 106 nominations total</t>
  </si>
  <si>
    <t>Guardianes de la Galaxia (Spanish title)</t>
  </si>
  <si>
    <t>Longcross Studios, Chobham Lane, Longcross, Chertsey, Surrey, England, UK (Studio)</t>
  </si>
  <si>
    <t>outer space; bounty hunter; tree; talking animal; female warrior</t>
  </si>
  <si>
    <t>No (pelicula original, primera de su propia serie -- es parte del universo compartido Marvel/MCU pero no es secuela/reboot/spin-off de ninguna pelicula anterior especifica)</t>
  </si>
  <si>
    <t>James Gunn &amp; Nicole Perlman (written by); Dan Abnett &amp; Andy Lanning (based on the Marvel comic); character creators: Bill Mantlo, Keith Giffen, Jim Starlin, Steve Englehart, Steve Gan, Steve Gerber, Val Mayerik</t>
  </si>
  <si>
    <t>Related interests: Marvel, Buddy Comedy, Quest, Space Sci-Fi, Superhero, Action, Adventure, Comedy, Sci-Fi.</t>
  </si>
  <si>
    <t>galaxy[759:6]</t>
  </si>
  <si>
    <t>Close Encounters of the Third Kind</t>
  </si>
  <si>
    <t>confirmed https://thisiscrowd.com/news/mcdonalds-at-the-movies/</t>
  </si>
  <si>
    <t>Steven Spielberg</t>
  </si>
  <si>
    <t>Richard Dreyfuss</t>
  </si>
  <si>
    <t>Francois Truffaut, Teri Garr, Melinda Dillon, Bob Balaban, Cary Guffey, Lance Henriksen</t>
  </si>
  <si>
    <t>December 14, 1977 (United States)</t>
  </si>
  <si>
    <t>Drama, Sci-Fi</t>
  </si>
  <si>
    <t>4-Track Stereo</t>
  </si>
  <si>
    <t>$20,000,000 (estimated)</t>
  </si>
  <si>
    <t>$306,889,114 (worldwide); $135,189,114 (US &amp; Canada)</t>
  </si>
  <si>
    <t>Julia Phillips and Michael Phillips Productions, EMI Films</t>
  </si>
  <si>
    <t>Columbia Pictures</t>
  </si>
  <si>
    <t>Won 1 Oscar; 18 wins &amp; 40 nominations total</t>
  </si>
  <si>
    <t>Encuentros cercanos del tercer tipo (Spanish title)</t>
  </si>
  <si>
    <t>Devils Tower National Monument, Wyoming, USA (Devil's Rock)</t>
  </si>
  <si>
    <t>alien; alien contact; close encounter of the third kind; single mother; mothership</t>
  </si>
  <si>
    <t>No (standalone; a 1980 'Special Edition' and a 1998 'Director's Cut' exist as re-edits)</t>
  </si>
  <si>
    <t>Steven Spielberg (written by); Hal Barwood, Jerry Belson, John Hill, Matthew Robbins (additional writing, uncredited)</t>
  </si>
  <si>
    <t>Related interests: Alien Invasion, Sci-Fi Epic, Drama, Sci-Fi. Released the same year as Star Wars (1977).</t>
  </si>
  <si>
    <t>close[349:5]; kind[980:4]</t>
  </si>
  <si>
    <t>Barry Lyndon</t>
  </si>
  <si>
    <t>confirmed https://x.com/pipevicioso/status/976643352723644417</t>
  </si>
  <si>
    <t>Ryan O'Neal</t>
  </si>
  <si>
    <t>Marisa Berenson, Patrick Magee, Hardy Kruger, Steven Berkoff, Murray Melvin, Leon Vitali</t>
  </si>
  <si>
    <t>English, German, French</t>
  </si>
  <si>
    <t>December 18, 1975 (United States)</t>
  </si>
  <si>
    <t>Adventure, Drama, War</t>
  </si>
  <si>
    <t>$597,331 (worldwide, as tracked -- the film was a box-office disappointment on original release)</t>
  </si>
  <si>
    <t>Peregrine, Hawk Films, Warner Bros.</t>
  </si>
  <si>
    <t>Won 4 Oscars; 18 wins &amp; 14 nominations total</t>
  </si>
  <si>
    <t>Cyrillic-script AKA listed on IMDb (Bari Lindon / transliterated)</t>
  </si>
  <si>
    <t>Carton House, Maynooth, County Kildare, Ireland (location)</t>
  </si>
  <si>
    <t>social climber; rise and fall; dysfunctional marriage; seven years' war; irishman abroad</t>
  </si>
  <si>
    <t>No (standalone; based on Thackeray's novel)</t>
  </si>
  <si>
    <t>Stanley Kubrick (written for the screen by); William Makepeace Thackeray (novel 'The Memoirs of Barry Lyndon, Esq.')</t>
  </si>
  <si>
    <t>Related interests: Adventure Epic, Costume Drama, Dark Comedy, Epic, Globetrotting Adventure, Period Drama, Psychological Drama, Tragedy. Production relocated from Ireland to England mid-shoot after an IRA threat against Kubrick.</t>
  </si>
  <si>
    <t>bar[147:3]</t>
  </si>
  <si>
    <t>Sharknado</t>
  </si>
  <si>
    <t>confirmed https://www.imdb.com/es-es/title/tt2724064/characters/nm0001334/</t>
  </si>
  <si>
    <t>Anthony C. Ferrante</t>
  </si>
  <si>
    <t>Ian Ziering</t>
  </si>
  <si>
    <t>Tara Reid, John Heard, Cassandra Scerbo, Jaason Simmons, Charles Hittinger, Aubrey Peeples</t>
  </si>
  <si>
    <t>July 11, 2013 (United States) -- TV Movie (SyFy channel), not a theatrical release</t>
  </si>
  <si>
    <t>TV-14</t>
  </si>
  <si>
    <t>1.78:1 / 16:9 HD</t>
  </si>
  <si>
    <t>Dolby Digital</t>
  </si>
  <si>
    <t>$1,000,000 (estimated)</t>
  </si>
  <si>
    <t>No aplica -- TV movie, sin recaudacion de taquilla reportada en IMDb</t>
  </si>
  <si>
    <t>The Asylum, Syfy, Southward Films</t>
  </si>
  <si>
    <t>Syfy (cable TV premiere)</t>
  </si>
  <si>
    <t>1 win &amp; 2 nominations total</t>
  </si>
  <si>
    <t>Dark Skies (AKA listed on IMDb -- unrelated to the 2013 alien-invasion film of the same name)</t>
  </si>
  <si>
    <t>Mo's Place - 203 Culver Boulevard, Playa del Rey, Los Angeles, California, USA (ConStar)</t>
  </si>
  <si>
    <t>sharksploitation; fish; house; dog; shark</t>
  </si>
  <si>
    <t>No (original; spawned 5 sequels: Sharknado 2 through The Last Sharknado, plus spin-offs)</t>
  </si>
  <si>
    <t>Thunder Levin (written by)</t>
  </si>
  <si>
    <t>Related interests: B-Action, B-Horror, Dark Comedy, Disaster, High-Concept Comedy, Parody, Urban Adventure. 'Not Rated' -- no MPAA rating since it's a made-for-TV movie (films.csv lists 'TV-14', the actual US TV content rating, distinct from MPAA).</t>
  </si>
  <si>
    <t>tornado[1835:7]; fish[701:4]; dog[516:3]; beach[155:5]; gun[831:3]  [TOP-5 CURADAS 2026-08-20, ver leads.md]</t>
  </si>
  <si>
    <t>[Nivel 2 -- candidatos de keywords IMDb NO promovidos a la corrida actual, no son substrings inferiores en el sentido original de esta columna, solo un segundo nivel de prioridad, ver leads.md "Curado top-5 por panel"]: pistol[1323:6]; animal[72:6]; vehicle[1935:7]; car[274:3]; child[319:5]</t>
  </si>
  <si>
    <t>Terminator 2: Judgment Day</t>
  </si>
  <si>
    <t>confirmed https://www.reddit.com/r/MoviesTelugu/comments/1k3elz9/terminator_2_judgment_day/</t>
  </si>
  <si>
    <t>Arnold Schwarzenegger</t>
  </si>
  <si>
    <t>Linda Hamilton, Edward Furlong, Robert Patrick, Earl Boen, Joe Morton, S. Epatha Merkerson</t>
  </si>
  <si>
    <t>United States, France</t>
  </si>
  <si>
    <t>July 3, 1991 (United States)</t>
  </si>
  <si>
    <t>Dolby SR</t>
  </si>
  <si>
    <t>$102,000,000 (estimated)</t>
  </si>
  <si>
    <t>$517,814,175 (worldwide); $205,916,756 (US &amp; Canada)</t>
  </si>
  <si>
    <t>Carolco Pictures, Pacific Western, Lightstorm Entertainment</t>
  </si>
  <si>
    <t>Won 4 Oscars; 39 wins &amp; 33 nominations total</t>
  </si>
  <si>
    <t>El Exterminador 2 (Spanish title)</t>
  </si>
  <si>
    <t>Bayside Parkway &amp; Gateway Boulevard, Fremont, California, USA (Cyberdyne, exterior)</t>
  </si>
  <si>
    <t>time travel; artificial intelligence; post apocalypse; alternate timeline; future war</t>
  </si>
  <si>
    <t>Si -- direct sequel to The Terminator (1984); spawned Terminator 3, Salvation, Genisys, Dark Fate</t>
  </si>
  <si>
    <t>James Cameron &amp; William Wisher (written by)</t>
  </si>
  <si>
    <t>Related interests: Terminator, Action Epic, Artificial Intelligence, Dark Comedy, Dystopian Sci-Fi, One-Person Army Action, Sci-Fi Epic, Time Travel.</t>
  </si>
  <si>
    <t>day[448:3]</t>
  </si>
  <si>
    <t>Scream 2</t>
  </si>
  <si>
    <t>confirmed https://yarn.co/yarn-clip/53e1a316-3114-4cb3-aa3f-3da97287c3ce</t>
  </si>
  <si>
    <t>Wes Craven</t>
  </si>
  <si>
    <t>Neve Campbell</t>
  </si>
  <si>
    <t>Courteney Cox, David Arquette, Jada Pinkett Smith, Omar Epps, Liev Schreiber, Heather Graham</t>
  </si>
  <si>
    <t>December 12, 1997 (United States)</t>
  </si>
  <si>
    <t>Horror, Mystery</t>
  </si>
  <si>
    <t>$24,000,000 (estimated)</t>
  </si>
  <si>
    <t>$172,363,301 (worldwide); $101,363,301 (US &amp; Canada)</t>
  </si>
  <si>
    <t>Dimension Films, Konrad Pictures, Craven-Maddalena Films</t>
  </si>
  <si>
    <t>Dimension Films (Miramax)</t>
  </si>
  <si>
    <t>8 wins &amp; 13 nominations total</t>
  </si>
  <si>
    <t>Scream 2: Grita y vuelve a gritar (Spanish title)</t>
  </si>
  <si>
    <t>Rialto Theatre - 1023 S. Fair Oaks Avenue, South Pasadena, California, USA (movie premiere)</t>
  </si>
  <si>
    <t>serial murder; serial killer; villain; murder spree; haunted by the past</t>
  </si>
  <si>
    <t>Si -- sequel to Scream (1996); spawned Scream 3, 4, (2022), VI, 7</t>
  </si>
  <si>
    <t>Kevin Williamson (characters; written by)</t>
  </si>
  <si>
    <t>Related interests: Scream, Dark Comedy, Slasher Horror, Suspense Mystery, Teen Horror, Whodunnit. No opening credits (unusual stylistic choice, shared with several other panels in this set).</t>
  </si>
  <si>
    <t>cream[407:5]</t>
  </si>
  <si>
    <t>The Matrix Reloaded</t>
  </si>
  <si>
    <t>confirmed https://matrix.fandom.com/wiki/Program - https://x.com/ecto_fun/status/1676821396037545984</t>
  </si>
  <si>
    <t>Lana Wachowski</t>
  </si>
  <si>
    <t>Keanu Reeves</t>
  </si>
  <si>
    <t>Laurence Fishburne, Carrie-Anne Moss, Monica Bellucci, Helmut Bakaitis, Ian Bliss, Daniel Bernhardt</t>
  </si>
  <si>
    <t>English, French, Italian</t>
  </si>
  <si>
    <t>May 15, 2003 (United States)</t>
  </si>
  <si>
    <t>Action, Sci-Fi</t>
  </si>
  <si>
    <t>DTS; Dolby Digital; SDDS; Dolby Atmos</t>
  </si>
  <si>
    <t>$741,847,937 (worldwide); $281,576,461 (US &amp; Canada)</t>
  </si>
  <si>
    <t>Warner Bros., Village Roadshow Pictures, NPV Entertainment</t>
  </si>
  <si>
    <t>8 wins &amp; 34 nominations total</t>
  </si>
  <si>
    <t>Matrix recargado (Spanish title)</t>
  </si>
  <si>
    <t>Nimitz Freeway, Oakland, California, USA (highway chase)</t>
  </si>
  <si>
    <t>oracle; prophecy; stylized violence; chosen one; alternate reality</t>
  </si>
  <si>
    <t>Si -- direct sequel to The Matrix (1999); second of a trilogy, followed by The Matrix Revolutions (2003)</t>
  </si>
  <si>
    <t>Lilly Wachowski &amp; Lana Wachowski (written by, characters) -- credited on-screen at the time as 'The Wachowski Brothers'</t>
  </si>
  <si>
    <t>Related interests: The Matrix, Action Epic, Cyberpunk, Dystopian Sci-Fi, Martial Arts, Sci-Fi Epic, Superhero. Directors credited jointly as 'The Wachowskis' (film pre-dates their public transitions).</t>
  </si>
  <si>
    <t>matrix[1097:6]</t>
  </si>
  <si>
    <t>Toy Story 2</t>
  </si>
  <si>
    <t>confirmed by the image, show the characters</t>
  </si>
  <si>
    <t>John Lasseter</t>
  </si>
  <si>
    <t>Tom Hanks</t>
  </si>
  <si>
    <t>Tim Allen, Joan Cusack, Kelsey Grammer, Don Rickles, Jim Varney, Wallace Shawn</t>
  </si>
  <si>
    <t>November 24, 1999 (United States)</t>
  </si>
  <si>
    <t>Animation, Adventure, Comedy</t>
  </si>
  <si>
    <t>G</t>
  </si>
  <si>
    <t>1.85:1 (theatrical ratio); also 1.33:1, 1.66:1, 1.78:1 (home video)</t>
  </si>
  <si>
    <t>Dolby Digital EX; DTS-ES; SDDS</t>
  </si>
  <si>
    <t>$90,000,000 (estimated)</t>
  </si>
  <si>
    <t>$497,375,404 (worldwide); $245,852,179 (US &amp; Canada)</t>
  </si>
  <si>
    <t>Walt Disney Pictures, Pixar Animation Studios</t>
  </si>
  <si>
    <t>Walt Disney Pictures (Buena Vista Distribution)</t>
  </si>
  <si>
    <t>Nominated for 1 Oscar; 21 wins &amp; 27 nominations total</t>
  </si>
  <si>
    <t>Toy Story 2 in 3-D (AKA for the 2009 re-release)</t>
  </si>
  <si>
    <t>Pixar Animation Studios - 1001 W. Cutting Blvd., Richmond, California, USA</t>
  </si>
  <si>
    <t>toy; toy comes to life; chicken suit; rescue; collector</t>
  </si>
  <si>
    <t>Si -- sequel to Toy Story (1995); third in franchise is Toy Story 3 (2010)</t>
  </si>
  <si>
    <t>John Lasseter, Pete Docter, Ash Brannon, Andrew Stanton (original story); Andrew Stanton, Rita Hsiao, Doug Chamberlin, Chris Webb (screenplay)</t>
  </si>
  <si>
    <t>CORREGIDO 2026-08-20: esta fila es Toy Story 2 (1999, tt0120363), no Toy Story (1995) -- el usuario cambio el titulo del panel 30 despues del primer llenado. Dirigida por John Lasseter junto a Ash Brannon y Lee Unkrich (co-directores). Related interests: Toy Story, Computer Animation, Quest, Supernatural Fantasy, Urban Adventure, Adventure, Animation, Comedy, Family, Fantasy.</t>
  </si>
  <si>
    <t>story[1716:5]; toy[1843:3]</t>
  </si>
  <si>
    <t>Ghostbusters II</t>
  </si>
  <si>
    <t>confirmed https://x.com/MattHighton/status/1636805066014195745 https://lego-dimensions-customs.fandom.com/wiki/Manhattan_Museum_of_Art_(CJDM1999)</t>
  </si>
  <si>
    <t>Ivan Reitman</t>
  </si>
  <si>
    <t>Bill Murray</t>
  </si>
  <si>
    <t>Dan Aykroyd, Sigourney Weaver, Harold Ramis, Rick Moranis, Ernie Hudson, Annie Potts</t>
  </si>
  <si>
    <t>June 16, 1989 (United States)</t>
  </si>
  <si>
    <t>Action, Comedy, Fantasy</t>
  </si>
  <si>
    <t>$25,000,000 (estimated)</t>
  </si>
  <si>
    <t>$215,394,738 (worldwide); $112,494,738 (US &amp; Canada)</t>
  </si>
  <si>
    <t>Columbia Pictures, Black Rhino Productions</t>
  </si>
  <si>
    <t>2 wins &amp; 1 nomination total</t>
  </si>
  <si>
    <t>Los cazafantasmas II (Spanish title)</t>
  </si>
  <si>
    <t>Fire Station 23 - 225 E. 5th Street, Los Angeles, California, USA (interiors: Ghostbusters headquarters)</t>
  </si>
  <si>
    <t>new york city; ghostbuster; baby; ghost; slime</t>
  </si>
  <si>
    <t>Si -- direct sequel to Ghostbusters (1984); franchise continued decades later with Ghostbusters: Afterlife and Frozen Empire</t>
  </si>
  <si>
    <t>Dan Aykroyd &amp; Harold Ramis (characters and written by)</t>
  </si>
  <si>
    <t>Related interests: High-Concept Comedy, Quirky Comedy, Supernatural Fantasy, Action, Comedy, Fantasy, Sci-Fi.</t>
  </si>
  <si>
    <t>ghost[780:5]; host[880:4]; bus[247:3]</t>
  </si>
  <si>
    <t>Raiders of the Lost Ark</t>
  </si>
  <si>
    <t>confirmed https://them0vieblog.com/2021/08/11/stay-out-of-the-light-the-black-and-white-morality-of-raiders-of-the-lost-ark/ - https://www.ign.com/articles/2007/10/18/ocd-raiders-german-mechanic</t>
  </si>
  <si>
    <t>Harrison Ford</t>
  </si>
  <si>
    <t>Karen Allen, Paul Freeman, Ronald Lacey, John Rhys-Davies, Denholm Elliott, Alfred Molina</t>
  </si>
  <si>
    <t>English, German, Spanish, Nepali, Hebrew, Arabic</t>
  </si>
  <si>
    <t>June 12, 1981 (United States)</t>
  </si>
  <si>
    <t>Adventure</t>
  </si>
  <si>
    <t>Dolby Atmos</t>
  </si>
  <si>
    <t>$18,000,000 (estimated)</t>
  </si>
  <si>
    <t>$389,925,971 (worldwide); $248,159,971 (US &amp; Canada)</t>
  </si>
  <si>
    <t>Paramount Pictures, Lucasfilm</t>
  </si>
  <si>
    <t>Won 4 Oscars; 46 wins &amp; 26 nominations total</t>
  </si>
  <si>
    <t>Los cazadores del arca perdida (Spanish title)</t>
  </si>
  <si>
    <t>University of the Pacific, Stockton, California, USA (exterior of Barnett College)</t>
  </si>
  <si>
    <t>nazi; female tied up; ark of the covenant; damsel in distress; bondage</t>
  </si>
  <si>
    <t>No (original; first film of the Indiana Jones franchise)</t>
  </si>
  <si>
    <t>Lawrence Kasdan (screenplay); George Lucas &amp; Philip Kaufman (story)</t>
  </si>
  <si>
    <t>Related interests: Indiana Jones, Action Epic, Adventure Epic, Desert Adventure, Globetrotting Adventure, Quest. Genres field here is unusually narrow -- just 'Adventure', no second/third genre listed.</t>
  </si>
  <si>
    <t>whip[2003:4]; snake[1641:5]; hat[844:3]; spider[1677:6]; torch[1834:5]  [TOP-5 CURADAS 2026-08-20, ver leads.md]</t>
  </si>
  <si>
    <t>[Nivel 2 -- candidatos de keywords IMDb NO promovidos a la corrida actual, no son substrings inferiores en el sentido original de esta columna, solo un segundo nivel de prioridad, ver leads.md "Curado top-5 por panel"]: gold[802:4]; horse[878:5]; ship[1584:4]; knife[989:5]; truck[1865:5]; chase[309:5]; jungle[968:6]; mirror[1132:6]; canyon[270:6]; desert[477:6]; fire[697:4]; bar[147:3]; love[1059:4]; ritual[1492:6]; lecture[1016:7]; dress[533:5]; tent[1786:4]; island[947:6]; wine[2012:4]; blood[191:5]; warrior[1978:7]; escape[616:6]; kiss[982:4]; pistol[1323:6]; sword[1762:5]; rescue[1465:6]; basket[153:6]; soldier[1652:7]; spirit[1680:6]; alcohol[48:7]; car[274:3]; hero[858:4]; magic[1070:5]; weapon[1986:6]; mechanic[1105:8]; faith[656:5]; fiction[686:7]</t>
  </si>
  <si>
    <t>The Shining</t>
  </si>
  <si>
    <t>confirmed https://www.traveler.es/experiencias/articulos/hotel-el-resplandor-the-overlook-film-festival/9713</t>
  </si>
  <si>
    <t>Jack Nicholson</t>
  </si>
  <si>
    <t>Shelley Duvall, Danny Lloyd, Scatman Crothers, Barry Nelson, Philip Stone, Joe Turkel</t>
  </si>
  <si>
    <t>June 13, 1980 (United States)</t>
  </si>
  <si>
    <t>Drama, Horror</t>
  </si>
  <si>
    <t>1.37:1 (negative ratio); 1.66:1 (theatrical, UK &amp; Europe); 1.85:1 (theatrical, USA)</t>
  </si>
  <si>
    <t>Mono; Dolby Digital (Blu-ray release)</t>
  </si>
  <si>
    <t>$50,325,335 (worldwide); $47,194,352 (US &amp; Canada)</t>
  </si>
  <si>
    <t>Warner Bros., Hawk Films, Peregrine</t>
  </si>
  <si>
    <t>6 wins &amp; 9 nominations total</t>
  </si>
  <si>
    <t>El resplandor (Spanish title)</t>
  </si>
  <si>
    <t>Timberline Lodge - 27500 E Timberline Road, Government Camp, Mount Hood, Oregon, USA (Overlook Hotel exterior)</t>
  </si>
  <si>
    <t>haunted hotel; labyrinth; isolation; freezing to death; typewriter</t>
  </si>
  <si>
    <t>No (standalone; based on Stephen King's novel; a made-for-TV miniseries remake exists, and a novel sequel 'Doctor Sleep' was later filmed separately)</t>
  </si>
  <si>
    <t>Stephen King (based upon the novel by); Stanley Kubrick &amp; Diane Johnson (screenplay)</t>
  </si>
  <si>
    <t>Related interests: Psychological Drama, Psychological Horror, Supernatural Horror, Drama, Horror. Multiple cuts exist (146min US theatrical vs 119min European cut, 25 min shorter).</t>
  </si>
  <si>
    <t>hotel[881:5]; mirror[1132:6]; blood[191:5]; ghost[780:5]; door[523:4]  [TOP-5 CURADAS 2026-08-20, ver leads.md]</t>
  </si>
  <si>
    <t>[Nivel 2 -- candidatos de keywords IMDb NO promovidos a la corrida actual, no son substrings inferiores en el sentido original de esta columna, solo un segundo nivel de prioridad, ver leads.md "Curado top-5 por panel"]: maze[1100:4]; snow[1644:4]; bar[147:3]; chase[309:5]; elevator[575:8]; winter[2016:6]; marriage[1090:8]; kitchen[984:7]; author[123:6]; knife[989:5]; doctor[514:6]; window[2011:6]; toy[1843:3]; chef[314:4]; escape[616:6]; rescue[1465:6]; kiss[982:4]; danger[443:6]; night[1196:5]; gift[782:4]; boy[213:3]; airport[44:7]</t>
  </si>
  <si>
    <t>The Human Centipede (First Sequence)</t>
  </si>
  <si>
    <t>confirmed https://www.youtube.com/watch?v=2MunLd13fzs</t>
  </si>
  <si>
    <t>Tom Six</t>
  </si>
  <si>
    <t>Dieter Laser</t>
  </si>
  <si>
    <t>Winter Williams (Ashley C. Williams), Ashlynn Yennie, Akihiro Kitamura, Andreas Leupold, Peter Blankenstein, Bernd Kostrau</t>
  </si>
  <si>
    <t>Netherlands</t>
  </si>
  <si>
    <t>English, German, Japanese</t>
  </si>
  <si>
    <t>April 28, 2010 (United States) -- fecha de estreno en EEUU; produccion neerlandesa de 2009</t>
  </si>
  <si>
    <t>Horror</t>
  </si>
  <si>
    <t>1.78:1 (high definition)</t>
  </si>
  <si>
    <t>Stereo</t>
  </si>
  <si>
    <t>EUR 1,500,000 (estimated)</t>
  </si>
  <si>
    <t>$325,113 (worldwide); $181,467 (US &amp; Canada)</t>
  </si>
  <si>
    <t>Six Entertainment</t>
  </si>
  <si>
    <t>IFC Films (US theatrical/VOD distributor)</t>
  </si>
  <si>
    <t>8 wins &amp; 3 nominations total</t>
  </si>
  <si>
    <t>El ciempies humano (Spanish title)</t>
  </si>
  <si>
    <t>Naarden, Noord-Holland, Netherlands</t>
  </si>
  <si>
    <t>mad scientist; victim; surgery; kidnapping; sadism</t>
  </si>
  <si>
    <t>No (es la pelicula ORIGINAL, primera de la trilogia -- genero secuelas (Full Sequence, Final Sequence) pero ella misma no es secuela/reboot/spin-off de nada)</t>
  </si>
  <si>
    <t>Tom Six (written by)</t>
  </si>
  <si>
    <t>Related interests: B-Horror, Body Horror, Splatter Horror, Horror. Only 34-panel entry with country of origin Netherlands (not US/UK/France as with the rest of the set).</t>
  </si>
  <si>
    <t>human[886:5]; first[699:5]; man[1078:3]; doctor[514:6]; mask[1091:4]; illness[905:7]; cabin[254:5]</t>
  </si>
  <si>
    <t>man (en 'Human', domina 'human')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</si>
</sst>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5FBF"/>
      </patternFill>
    </fill>
    <fill>
      <patternFill patternType="solid">
        <fgColor rgb="FFE2F0D9"/>
      </patternFill>
    </fill>
    <fill>
      <patternFill patternType="solid">
        <fgColor rgb="FFE2F0D9"/>
        <bgColor rgb="FFE2F0D9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0" xfId="0" applyFill="1" applyAlignment="1">
      <alignment vertical="center" wrapText="1"/>
    </xf>
    <xf numFmtId="0" fontId="3" fillId="0" borderId="0" xfId="0" applyFon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tabSelected="1" zoomScale="130" zoomScaleNormal="130" workbookViewId="0">
      <pane ySplit="1" topLeftCell="A17" activePane="bottomLeft" state="frozen"/>
      <selection pane="bottomLeft" activeCell="B18" sqref="B18"/>
    </sheetView>
  </sheetViews>
  <sheetFormatPr baseColWidth="10" defaultColWidth="9.140625" defaultRowHeight="15" x14ac:dyDescent="0.25"/>
  <cols>
    <col min="1" max="1" width="7" customWidth="1"/>
    <col min="2" max="2" width="32" customWidth="1"/>
    <col min="3" max="3" width="7" customWidth="1"/>
    <col min="4" max="4" width="38.42578125" customWidth="1"/>
    <col min="5" max="5" width="16" customWidth="1"/>
    <col min="6" max="6" width="26" customWidth="1"/>
    <col min="7" max="7" width="22" customWidth="1"/>
    <col min="8" max="8" width="34" customWidth="1"/>
    <col min="9" max="9" width="22" customWidth="1"/>
    <col min="10" max="10" width="18" customWidth="1"/>
    <col min="11" max="11" width="16" customWidth="1"/>
    <col min="12" max="12" width="12" customWidth="1"/>
    <col min="13" max="13" width="28" customWidth="1"/>
    <col min="14" max="14" width="16" customWidth="1"/>
    <col min="15" max="15" width="14" customWidth="1"/>
    <col min="16" max="16" width="12" customWidth="1"/>
    <col min="17" max="17" width="18" customWidth="1"/>
    <col min="18" max="18" width="16" customWidth="1"/>
    <col min="19" max="19" width="18" customWidth="1"/>
    <col min="20" max="20" width="26" customWidth="1"/>
    <col min="21" max="21" width="22" customWidth="1"/>
    <col min="22" max="22" width="30" customWidth="1"/>
    <col min="23" max="24" width="26" customWidth="1"/>
    <col min="25" max="25" width="32" customWidth="1"/>
    <col min="26" max="26" width="26" customWidth="1"/>
    <col min="27" max="27" width="22" customWidth="1"/>
    <col min="28" max="28" width="36" customWidth="1"/>
    <col min="29" max="29" width="37.28515625" customWidth="1"/>
  </cols>
  <sheetData>
    <row r="1" spans="1:3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5" t="s">
        <v>29</v>
      </c>
    </row>
    <row r="2" spans="1:30" ht="76.5" customHeight="1" x14ac:dyDescent="0.25">
      <c r="A2" s="2">
        <v>1</v>
      </c>
      <c r="B2" s="2" t="s">
        <v>30</v>
      </c>
      <c r="C2" s="2">
        <v>1988</v>
      </c>
      <c r="D2" s="2" t="s">
        <v>31</v>
      </c>
      <c r="E2" s="2" t="str">
        <f>HYPERLINK("https://www.imdb.com/find/?q=Die+Hard+1988","Buscar en IMDb")</f>
        <v>Buscar en IMDb</v>
      </c>
      <c r="F2" s="2" t="s">
        <v>32</v>
      </c>
      <c r="G2" s="2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>
        <v>132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3" t="s">
        <v>51</v>
      </c>
      <c r="AA2" s="3" t="s">
        <v>52</v>
      </c>
      <c r="AB2" s="3" t="s">
        <v>53</v>
      </c>
      <c r="AC2" s="4" t="s">
        <v>54</v>
      </c>
      <c r="AD2" s="6" t="s">
        <v>55</v>
      </c>
    </row>
    <row r="3" spans="1:30" ht="89.25" customHeight="1" x14ac:dyDescent="0.25">
      <c r="A3" s="2">
        <v>2</v>
      </c>
      <c r="B3" s="2" t="s">
        <v>56</v>
      </c>
      <c r="C3" s="2">
        <v>1957</v>
      </c>
      <c r="D3" s="2" t="s">
        <v>57</v>
      </c>
      <c r="E3" s="2" t="str">
        <f>HYPERLINK("https://www.imdb.com/find/?q=Paths+of+Glory+1957","Buscar en IMDb")</f>
        <v>Buscar en IMDb</v>
      </c>
      <c r="F3" s="2" t="s">
        <v>58</v>
      </c>
      <c r="G3" s="2" t="s">
        <v>59</v>
      </c>
      <c r="H3" s="3" t="s">
        <v>60</v>
      </c>
      <c r="I3" s="3" t="s">
        <v>35</v>
      </c>
      <c r="J3" s="3" t="s">
        <v>61</v>
      </c>
      <c r="K3" s="3" t="s">
        <v>62</v>
      </c>
      <c r="L3" s="3">
        <v>88</v>
      </c>
      <c r="M3" s="3" t="s">
        <v>63</v>
      </c>
      <c r="N3" s="3" t="s">
        <v>64</v>
      </c>
      <c r="O3" s="3" t="s">
        <v>65</v>
      </c>
      <c r="P3" s="3" t="s">
        <v>66</v>
      </c>
      <c r="Q3" s="3" t="s">
        <v>67</v>
      </c>
      <c r="R3" s="3" t="s">
        <v>68</v>
      </c>
      <c r="S3" s="3" t="s">
        <v>69</v>
      </c>
      <c r="T3" s="3" t="s">
        <v>70</v>
      </c>
      <c r="U3" s="3" t="s">
        <v>71</v>
      </c>
      <c r="V3" s="3" t="s">
        <v>72</v>
      </c>
      <c r="W3" s="3" t="s">
        <v>73</v>
      </c>
      <c r="X3" s="3" t="s">
        <v>74</v>
      </c>
      <c r="Y3" s="3" t="s">
        <v>75</v>
      </c>
      <c r="Z3" s="3" t="s">
        <v>76</v>
      </c>
      <c r="AA3" s="3" t="s">
        <v>77</v>
      </c>
      <c r="AB3" s="3" t="s">
        <v>78</v>
      </c>
      <c r="AC3" s="4" t="s">
        <v>79</v>
      </c>
      <c r="AD3" s="6" t="s">
        <v>55</v>
      </c>
    </row>
    <row r="4" spans="1:30" ht="89.25" customHeight="1" x14ac:dyDescent="0.25">
      <c r="A4" s="2">
        <v>3</v>
      </c>
      <c r="B4" s="2" t="s">
        <v>80</v>
      </c>
      <c r="C4" s="2">
        <v>1986</v>
      </c>
      <c r="D4" s="2" t="s">
        <v>81</v>
      </c>
      <c r="E4" s="2" t="str">
        <f>HYPERLINK("https://www.imdb.com/find/?q=Aliens+1986","Buscar en IMDb")</f>
        <v>Buscar en IMDb</v>
      </c>
      <c r="F4" s="2" t="s">
        <v>82</v>
      </c>
      <c r="G4" s="2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>
        <v>137</v>
      </c>
      <c r="M4" s="3" t="s">
        <v>88</v>
      </c>
      <c r="N4" s="3" t="s">
        <v>39</v>
      </c>
      <c r="O4" s="3" t="s">
        <v>40</v>
      </c>
      <c r="P4" s="3" t="s">
        <v>89</v>
      </c>
      <c r="Q4" s="3" t="s">
        <v>90</v>
      </c>
      <c r="R4" s="3" t="s">
        <v>91</v>
      </c>
      <c r="S4" s="3" t="s">
        <v>92</v>
      </c>
      <c r="T4" s="3" t="s">
        <v>93</v>
      </c>
      <c r="U4" s="3" t="s">
        <v>46</v>
      </c>
      <c r="V4" s="3" t="s">
        <v>94</v>
      </c>
      <c r="W4" s="3" t="s">
        <v>95</v>
      </c>
      <c r="X4" s="3" t="s">
        <v>96</v>
      </c>
      <c r="Y4" s="3" t="s">
        <v>97</v>
      </c>
      <c r="Z4" s="3" t="s">
        <v>98</v>
      </c>
      <c r="AA4" s="3" t="s">
        <v>99</v>
      </c>
      <c r="AB4" s="3" t="s">
        <v>100</v>
      </c>
      <c r="AC4" s="4" t="s">
        <v>101</v>
      </c>
      <c r="AD4" s="6" t="s">
        <v>55</v>
      </c>
    </row>
    <row r="5" spans="1:30" ht="76.5" customHeight="1" x14ac:dyDescent="0.25">
      <c r="A5" s="2">
        <v>4</v>
      </c>
      <c r="B5" s="2" t="s">
        <v>102</v>
      </c>
      <c r="C5" s="2">
        <v>1979</v>
      </c>
      <c r="D5" s="2" t="s">
        <v>103</v>
      </c>
      <c r="E5" s="2" t="str">
        <f>HYPERLINK("https://www.imdb.com/find/?q=Mad+Max+1979","Buscar en IMDb")</f>
        <v>Buscar en IMDb</v>
      </c>
      <c r="F5" s="2" t="s">
        <v>104</v>
      </c>
      <c r="G5" s="2" t="s">
        <v>105</v>
      </c>
      <c r="H5" s="3" t="s">
        <v>106</v>
      </c>
      <c r="I5" s="3" t="s">
        <v>107</v>
      </c>
      <c r="J5" s="3" t="s">
        <v>108</v>
      </c>
      <c r="K5" s="3" t="s">
        <v>109</v>
      </c>
      <c r="L5" s="3">
        <v>88</v>
      </c>
      <c r="M5" s="3" t="s">
        <v>110</v>
      </c>
      <c r="N5" s="3" t="s">
        <v>39</v>
      </c>
      <c r="O5" s="3" t="s">
        <v>40</v>
      </c>
      <c r="P5" s="3" t="s">
        <v>111</v>
      </c>
      <c r="Q5" s="3" t="s">
        <v>112</v>
      </c>
      <c r="R5" s="3" t="s">
        <v>113</v>
      </c>
      <c r="S5" s="3" t="s">
        <v>114</v>
      </c>
      <c r="T5" s="3" t="s">
        <v>115</v>
      </c>
      <c r="U5" s="3" t="s">
        <v>116</v>
      </c>
      <c r="V5" s="3" t="s">
        <v>117</v>
      </c>
      <c r="W5" s="3" t="s">
        <v>118</v>
      </c>
      <c r="X5" s="3" t="s">
        <v>119</v>
      </c>
      <c r="Y5" s="3" t="s">
        <v>120</v>
      </c>
      <c r="Z5" s="3" t="s">
        <v>121</v>
      </c>
      <c r="AA5" s="3" t="s">
        <v>122</v>
      </c>
      <c r="AB5" s="3" t="s">
        <v>123</v>
      </c>
      <c r="AC5" s="4" t="s">
        <v>124</v>
      </c>
      <c r="AD5" s="6" t="s">
        <v>55</v>
      </c>
    </row>
    <row r="6" spans="1:30" ht="51" customHeight="1" x14ac:dyDescent="0.25">
      <c r="A6" s="2">
        <v>5</v>
      </c>
      <c r="B6" s="2" t="s">
        <v>125</v>
      </c>
      <c r="C6" s="2">
        <v>1979</v>
      </c>
      <c r="D6" s="2" t="s">
        <v>126</v>
      </c>
      <c r="E6" s="2" t="str">
        <f>HYPERLINK("https://www.imdb.com/find/?q=Alien+1979","Buscar en IMDb")</f>
        <v>Buscar en IMDb</v>
      </c>
      <c r="F6" s="2" t="s">
        <v>127</v>
      </c>
      <c r="G6" s="2" t="s">
        <v>83</v>
      </c>
      <c r="H6" s="3" t="s">
        <v>128</v>
      </c>
      <c r="I6" s="3" t="s">
        <v>85</v>
      </c>
      <c r="J6" s="3" t="s">
        <v>108</v>
      </c>
      <c r="K6" s="3" t="s">
        <v>129</v>
      </c>
      <c r="L6" s="3">
        <v>117</v>
      </c>
      <c r="M6" s="3" t="s">
        <v>130</v>
      </c>
      <c r="N6" s="3" t="s">
        <v>39</v>
      </c>
      <c r="O6" s="3" t="s">
        <v>40</v>
      </c>
      <c r="P6" s="3" t="s">
        <v>131</v>
      </c>
      <c r="Q6" s="3" t="s">
        <v>132</v>
      </c>
      <c r="R6" s="3" t="s">
        <v>133</v>
      </c>
      <c r="S6" s="3" t="s">
        <v>134</v>
      </c>
      <c r="T6" s="3" t="s">
        <v>135</v>
      </c>
      <c r="U6" s="3" t="s">
        <v>46</v>
      </c>
      <c r="V6" s="3" t="s">
        <v>136</v>
      </c>
      <c r="W6" s="3" t="s">
        <v>137</v>
      </c>
      <c r="X6" s="3" t="s">
        <v>138</v>
      </c>
      <c r="Y6" s="3" t="s">
        <v>139</v>
      </c>
      <c r="Z6" s="3" t="s">
        <v>140</v>
      </c>
      <c r="AA6" s="3" t="s">
        <v>141</v>
      </c>
      <c r="AB6" s="3" t="s">
        <v>142</v>
      </c>
      <c r="AC6" s="4" t="s">
        <v>101</v>
      </c>
      <c r="AD6" s="6" t="s">
        <v>55</v>
      </c>
    </row>
    <row r="7" spans="1:30" ht="89.25" customHeight="1" x14ac:dyDescent="0.25">
      <c r="A7" s="2">
        <v>6</v>
      </c>
      <c r="B7" s="2" t="s">
        <v>143</v>
      </c>
      <c r="C7" s="2">
        <v>1979</v>
      </c>
      <c r="D7" s="2" t="s">
        <v>144</v>
      </c>
      <c r="E7" s="2" t="str">
        <f>HYPERLINK("https://www.imdb.com/find/?q=Apocalypse+Now+1979","Buscar en IMDb")</f>
        <v>Buscar en IMDb</v>
      </c>
      <c r="F7" s="2" t="s">
        <v>145</v>
      </c>
      <c r="G7" s="2" t="s">
        <v>146</v>
      </c>
      <c r="H7" s="3" t="s">
        <v>147</v>
      </c>
      <c r="I7" s="3" t="s">
        <v>35</v>
      </c>
      <c r="J7" s="3" t="s">
        <v>148</v>
      </c>
      <c r="K7" s="3" t="s">
        <v>149</v>
      </c>
      <c r="L7" s="3">
        <v>147</v>
      </c>
      <c r="M7" s="3" t="s">
        <v>150</v>
      </c>
      <c r="N7" s="3" t="s">
        <v>39</v>
      </c>
      <c r="O7" s="3" t="s">
        <v>151</v>
      </c>
      <c r="P7" s="3" t="s">
        <v>152</v>
      </c>
      <c r="Q7" s="3" t="s">
        <v>153</v>
      </c>
      <c r="R7" s="3" t="s">
        <v>154</v>
      </c>
      <c r="S7" s="3" t="s">
        <v>155</v>
      </c>
      <c r="T7" s="3" t="s">
        <v>156</v>
      </c>
      <c r="U7" s="3" t="s">
        <v>157</v>
      </c>
      <c r="V7" s="3" t="s">
        <v>158</v>
      </c>
      <c r="W7" s="3" t="s">
        <v>159</v>
      </c>
      <c r="X7" s="3" t="s">
        <v>160</v>
      </c>
      <c r="Y7" s="3" t="s">
        <v>161</v>
      </c>
      <c r="Z7" s="3" t="s">
        <v>162</v>
      </c>
      <c r="AA7" s="3" t="s">
        <v>163</v>
      </c>
      <c r="AB7" s="3" t="s">
        <v>164</v>
      </c>
      <c r="AC7" s="4" t="s">
        <v>165</v>
      </c>
      <c r="AD7" s="6" t="s">
        <v>55</v>
      </c>
    </row>
    <row r="8" spans="1:30" ht="51" customHeight="1" x14ac:dyDescent="0.25">
      <c r="A8" s="2">
        <v>7</v>
      </c>
      <c r="B8" s="2" t="s">
        <v>166</v>
      </c>
      <c r="C8" s="2">
        <v>1979</v>
      </c>
      <c r="D8" s="2" t="s">
        <v>167</v>
      </c>
      <c r="E8" s="2" t="str">
        <f>HYPERLINK("https://www.imdb.com/find/?q=Escape+from+Alcatraz+1979","Buscar en IMDb")</f>
        <v>Buscar en IMDb</v>
      </c>
      <c r="F8" s="2" t="s">
        <v>168</v>
      </c>
      <c r="G8" s="2" t="s">
        <v>169</v>
      </c>
      <c r="H8" s="3" t="s">
        <v>170</v>
      </c>
      <c r="I8" s="3" t="s">
        <v>35</v>
      </c>
      <c r="J8" s="3" t="s">
        <v>108</v>
      </c>
      <c r="K8" s="3" t="s">
        <v>129</v>
      </c>
      <c r="L8" s="3">
        <v>112</v>
      </c>
      <c r="M8" s="3" t="s">
        <v>171</v>
      </c>
      <c r="N8" s="3" t="s">
        <v>172</v>
      </c>
      <c r="O8" s="3" t="s">
        <v>40</v>
      </c>
      <c r="P8" s="3" t="s">
        <v>173</v>
      </c>
      <c r="Q8" s="3" t="s">
        <v>174</v>
      </c>
      <c r="R8" s="3" t="s">
        <v>175</v>
      </c>
      <c r="S8" s="3" t="s">
        <v>176</v>
      </c>
      <c r="T8" s="3" t="s">
        <v>177</v>
      </c>
      <c r="U8" s="3" t="s">
        <v>178</v>
      </c>
      <c r="V8" s="3" t="s">
        <v>179</v>
      </c>
      <c r="W8" s="3" t="s">
        <v>180</v>
      </c>
      <c r="X8" s="3" t="s">
        <v>181</v>
      </c>
      <c r="Y8" s="3" t="s">
        <v>182</v>
      </c>
      <c r="Z8" s="3" t="s">
        <v>183</v>
      </c>
      <c r="AA8" s="3" t="s">
        <v>184</v>
      </c>
      <c r="AB8" s="3" t="s">
        <v>185</v>
      </c>
      <c r="AC8" s="4" t="s">
        <v>186</v>
      </c>
      <c r="AD8" s="6" t="s">
        <v>55</v>
      </c>
    </row>
    <row r="9" spans="1:30" ht="51" customHeight="1" x14ac:dyDescent="0.25">
      <c r="A9" s="2">
        <v>8</v>
      </c>
      <c r="B9" s="2" t="s">
        <v>187</v>
      </c>
      <c r="C9" s="2">
        <v>1985</v>
      </c>
      <c r="D9" s="2" t="s">
        <v>188</v>
      </c>
      <c r="E9" s="2" t="str">
        <f>HYPERLINK("https://www.imdb.com/find/?q=The+Goonies+1985","Buscar en IMDb")</f>
        <v>Buscar en IMDb</v>
      </c>
      <c r="F9" s="2" t="s">
        <v>189</v>
      </c>
      <c r="G9" s="2" t="s">
        <v>190</v>
      </c>
      <c r="H9" s="3" t="s">
        <v>191</v>
      </c>
      <c r="I9" s="3" t="s">
        <v>35</v>
      </c>
      <c r="J9" s="3" t="s">
        <v>192</v>
      </c>
      <c r="K9" s="3" t="s">
        <v>193</v>
      </c>
      <c r="L9" s="3">
        <v>114</v>
      </c>
      <c r="M9" s="3" t="s">
        <v>194</v>
      </c>
      <c r="N9" s="3" t="s">
        <v>172</v>
      </c>
      <c r="O9" s="3" t="s">
        <v>40</v>
      </c>
      <c r="P9" s="3" t="s">
        <v>131</v>
      </c>
      <c r="Q9" s="3" t="s">
        <v>132</v>
      </c>
      <c r="R9" s="3" t="s">
        <v>195</v>
      </c>
      <c r="S9" s="3" t="s">
        <v>196</v>
      </c>
      <c r="T9" s="3" t="s">
        <v>197</v>
      </c>
      <c r="U9" s="3" t="s">
        <v>198</v>
      </c>
      <c r="V9" s="3" t="s">
        <v>199</v>
      </c>
      <c r="W9" s="3" t="s">
        <v>200</v>
      </c>
      <c r="X9" s="3" t="s">
        <v>201</v>
      </c>
      <c r="Y9" s="3" t="s">
        <v>202</v>
      </c>
      <c r="Z9" s="3" t="s">
        <v>203</v>
      </c>
      <c r="AA9" s="3" t="s">
        <v>204</v>
      </c>
      <c r="AB9" s="3" t="s">
        <v>205</v>
      </c>
      <c r="AC9" s="4" t="s">
        <v>206</v>
      </c>
      <c r="AD9" s="6" t="s">
        <v>207</v>
      </c>
    </row>
    <row r="10" spans="1:30" ht="140.25" customHeight="1" x14ac:dyDescent="0.25">
      <c r="A10" s="2">
        <v>9</v>
      </c>
      <c r="B10" s="2" t="s">
        <v>208</v>
      </c>
      <c r="C10" s="2">
        <v>1960</v>
      </c>
      <c r="D10" s="2" t="s">
        <v>209</v>
      </c>
      <c r="E10" s="2" t="str">
        <f>HYPERLINK("https://www.imdb.com/find/?q=Spartacus+1960","Buscar en IMDb")</f>
        <v>Buscar en IMDb</v>
      </c>
      <c r="F10" s="2" t="s">
        <v>58</v>
      </c>
      <c r="G10" s="2" t="s">
        <v>59</v>
      </c>
      <c r="H10" s="3" t="s">
        <v>210</v>
      </c>
      <c r="I10" s="3" t="s">
        <v>35</v>
      </c>
      <c r="J10" s="3" t="s">
        <v>108</v>
      </c>
      <c r="K10" s="3" t="s">
        <v>211</v>
      </c>
      <c r="L10" s="3">
        <v>184</v>
      </c>
      <c r="M10" s="3" t="s">
        <v>212</v>
      </c>
      <c r="N10" s="3" t="s">
        <v>64</v>
      </c>
      <c r="O10" s="3" t="s">
        <v>151</v>
      </c>
      <c r="P10" s="3" t="s">
        <v>213</v>
      </c>
      <c r="Q10" s="3" t="s">
        <v>214</v>
      </c>
      <c r="R10" s="3" t="s">
        <v>215</v>
      </c>
      <c r="S10" s="3" t="s">
        <v>216</v>
      </c>
      <c r="T10" s="3" t="s">
        <v>70</v>
      </c>
      <c r="U10" s="3" t="s">
        <v>217</v>
      </c>
      <c r="V10" s="3" t="s">
        <v>218</v>
      </c>
      <c r="W10" s="3" t="s">
        <v>219</v>
      </c>
      <c r="X10" s="3" t="s">
        <v>220</v>
      </c>
      <c r="Y10" s="3" t="s">
        <v>221</v>
      </c>
      <c r="Z10" s="3" t="s">
        <v>222</v>
      </c>
      <c r="AA10" s="3" t="s">
        <v>223</v>
      </c>
      <c r="AB10" s="3" t="s">
        <v>224</v>
      </c>
      <c r="AC10" s="4" t="s">
        <v>225</v>
      </c>
      <c r="AD10" s="6" t="s">
        <v>55</v>
      </c>
    </row>
    <row r="11" spans="1:30" ht="63.75" customHeight="1" x14ac:dyDescent="0.25">
      <c r="A11" s="2">
        <v>10</v>
      </c>
      <c r="B11" s="2" t="s">
        <v>226</v>
      </c>
      <c r="C11" s="2">
        <v>1996</v>
      </c>
      <c r="D11" s="2" t="s">
        <v>227</v>
      </c>
      <c r="E11" s="2" t="str">
        <f>HYPERLINK("https://www.imdb.com/find/?q=Mission:+Impossible+1996","Buscar en IMDb")</f>
        <v>Buscar en IMDb</v>
      </c>
      <c r="F11" s="2" t="s">
        <v>228</v>
      </c>
      <c r="G11" s="2" t="s">
        <v>229</v>
      </c>
      <c r="H11" s="3" t="s">
        <v>230</v>
      </c>
      <c r="I11" s="3" t="s">
        <v>35</v>
      </c>
      <c r="J11" s="3" t="s">
        <v>231</v>
      </c>
      <c r="K11" s="3" t="s">
        <v>232</v>
      </c>
      <c r="L11" s="3">
        <v>110</v>
      </c>
      <c r="M11" s="3" t="s">
        <v>233</v>
      </c>
      <c r="N11" s="3" t="s">
        <v>234</v>
      </c>
      <c r="O11" s="3" t="s">
        <v>40</v>
      </c>
      <c r="P11" s="3" t="s">
        <v>111</v>
      </c>
      <c r="Q11" s="3" t="s">
        <v>235</v>
      </c>
      <c r="R11" s="3" t="s">
        <v>236</v>
      </c>
      <c r="S11" s="3" t="s">
        <v>237</v>
      </c>
      <c r="T11" s="3" t="s">
        <v>238</v>
      </c>
      <c r="U11" s="3" t="s">
        <v>178</v>
      </c>
      <c r="V11" s="3" t="s">
        <v>239</v>
      </c>
      <c r="W11" s="3" t="s">
        <v>240</v>
      </c>
      <c r="X11" s="3" t="s">
        <v>241</v>
      </c>
      <c r="Y11" s="3" t="s">
        <v>242</v>
      </c>
      <c r="Z11" s="3" t="s">
        <v>243</v>
      </c>
      <c r="AA11" s="3" t="s">
        <v>244</v>
      </c>
      <c r="AB11" s="3" t="s">
        <v>245</v>
      </c>
      <c r="AC11" s="4" t="s">
        <v>246</v>
      </c>
      <c r="AD11" s="6" t="s">
        <v>55</v>
      </c>
    </row>
    <row r="12" spans="1:30" ht="76.5" customHeight="1" x14ac:dyDescent="0.25">
      <c r="A12" s="2">
        <v>11</v>
      </c>
      <c r="B12" s="2" t="s">
        <v>247</v>
      </c>
      <c r="C12" s="2">
        <v>1998</v>
      </c>
      <c r="D12" s="2" t="s">
        <v>248</v>
      </c>
      <c r="E12" s="2" t="str">
        <f>HYPERLINK("https://www.imdb.com/find/?q=Godzilla+1998","Buscar en IMDb")</f>
        <v>Buscar en IMDb</v>
      </c>
      <c r="F12" s="2" t="s">
        <v>249</v>
      </c>
      <c r="G12" s="2" t="s">
        <v>250</v>
      </c>
      <c r="H12" s="3" t="s">
        <v>251</v>
      </c>
      <c r="I12" s="3" t="s">
        <v>252</v>
      </c>
      <c r="J12" s="3" t="s">
        <v>253</v>
      </c>
      <c r="K12" s="3" t="s">
        <v>254</v>
      </c>
      <c r="L12" s="3">
        <v>139</v>
      </c>
      <c r="M12" s="3" t="s">
        <v>255</v>
      </c>
      <c r="N12" s="3" t="s">
        <v>234</v>
      </c>
      <c r="O12" s="3" t="s">
        <v>256</v>
      </c>
      <c r="P12" s="3" t="s">
        <v>111</v>
      </c>
      <c r="Q12" s="3" t="s">
        <v>257</v>
      </c>
      <c r="R12" s="3" t="s">
        <v>258</v>
      </c>
      <c r="S12" s="3" t="s">
        <v>259</v>
      </c>
      <c r="T12" s="3" t="s">
        <v>260</v>
      </c>
      <c r="U12" s="3" t="s">
        <v>261</v>
      </c>
      <c r="V12" s="3" t="s">
        <v>262</v>
      </c>
      <c r="W12" s="3" t="s">
        <v>263</v>
      </c>
      <c r="X12" s="3" t="s">
        <v>264</v>
      </c>
      <c r="Y12" s="3" t="s">
        <v>265</v>
      </c>
      <c r="Z12" s="3" t="s">
        <v>266</v>
      </c>
      <c r="AA12" s="3" t="s">
        <v>267</v>
      </c>
      <c r="AB12" s="3" t="s">
        <v>268</v>
      </c>
      <c r="AC12" s="4" t="s">
        <v>269</v>
      </c>
      <c r="AD12" s="6" t="s">
        <v>55</v>
      </c>
    </row>
    <row r="13" spans="1:30" ht="63.75" customHeight="1" x14ac:dyDescent="0.25">
      <c r="A13" s="2">
        <v>12</v>
      </c>
      <c r="B13" s="2" t="s">
        <v>270</v>
      </c>
      <c r="C13" s="2">
        <v>2012</v>
      </c>
      <c r="D13" s="2" t="s">
        <v>271</v>
      </c>
      <c r="E13" s="2" t="str">
        <f>HYPERLINK("https://www.imdb.com/find/?q=Life+of+Pi+2012","Buscar en IMDb")</f>
        <v>Buscar en IMDb</v>
      </c>
      <c r="F13" s="2" t="s">
        <v>272</v>
      </c>
      <c r="G13" s="2" t="s">
        <v>273</v>
      </c>
      <c r="H13" s="3" t="s">
        <v>274</v>
      </c>
      <c r="I13" s="3" t="s">
        <v>275</v>
      </c>
      <c r="J13" s="3" t="s">
        <v>276</v>
      </c>
      <c r="K13" s="3" t="s">
        <v>277</v>
      </c>
      <c r="L13" s="3">
        <v>127</v>
      </c>
      <c r="M13" s="3" t="s">
        <v>278</v>
      </c>
      <c r="N13" s="3" t="s">
        <v>172</v>
      </c>
      <c r="O13" s="3" t="s">
        <v>40</v>
      </c>
      <c r="P13" s="3" t="s">
        <v>173</v>
      </c>
      <c r="Q13" s="3" t="s">
        <v>279</v>
      </c>
      <c r="R13" s="3" t="s">
        <v>280</v>
      </c>
      <c r="S13" s="3" t="s">
        <v>281</v>
      </c>
      <c r="T13" s="3" t="s">
        <v>282</v>
      </c>
      <c r="U13" s="3" t="s">
        <v>283</v>
      </c>
      <c r="V13" s="3" t="s">
        <v>284</v>
      </c>
      <c r="W13" s="3" t="s">
        <v>285</v>
      </c>
      <c r="X13" s="3" t="s">
        <v>286</v>
      </c>
      <c r="Y13" s="3" t="s">
        <v>287</v>
      </c>
      <c r="Z13" s="3" t="s">
        <v>288</v>
      </c>
      <c r="AA13" s="3" t="s">
        <v>289</v>
      </c>
      <c r="AB13" s="3" t="s">
        <v>290</v>
      </c>
      <c r="AC13" s="4" t="s">
        <v>291</v>
      </c>
      <c r="AD13" s="6" t="s">
        <v>55</v>
      </c>
    </row>
    <row r="14" spans="1:30" ht="63.75" customHeight="1" x14ac:dyDescent="0.25">
      <c r="A14" s="2">
        <v>13</v>
      </c>
      <c r="B14" s="2" t="s">
        <v>292</v>
      </c>
      <c r="C14" s="2">
        <v>1994</v>
      </c>
      <c r="D14" s="2" t="s">
        <v>293</v>
      </c>
      <c r="E14" s="2" t="str">
        <f>HYPERLINK("https://www.imdb.com/find/?q=Leon:+The+Professional+1994","Buscar en IMDb")</f>
        <v>Buscar en IMDb</v>
      </c>
      <c r="F14" s="2" t="s">
        <v>294</v>
      </c>
      <c r="G14" s="2" t="s">
        <v>295</v>
      </c>
      <c r="H14" s="3" t="s">
        <v>296</v>
      </c>
      <c r="I14" s="3" t="s">
        <v>297</v>
      </c>
      <c r="J14" s="3" t="s">
        <v>298</v>
      </c>
      <c r="K14" s="3" t="s">
        <v>299</v>
      </c>
      <c r="L14" s="3">
        <v>110</v>
      </c>
      <c r="M14" s="3" t="s">
        <v>300</v>
      </c>
      <c r="N14" s="3" t="s">
        <v>39</v>
      </c>
      <c r="O14" s="3" t="s">
        <v>40</v>
      </c>
      <c r="P14" s="3" t="s">
        <v>111</v>
      </c>
      <c r="Q14" s="3" t="s">
        <v>301</v>
      </c>
      <c r="R14" s="3" t="s">
        <v>302</v>
      </c>
      <c r="S14" s="3" t="s">
        <v>303</v>
      </c>
      <c r="T14" s="3" t="s">
        <v>304</v>
      </c>
      <c r="U14" s="3" t="s">
        <v>305</v>
      </c>
      <c r="V14" s="3" t="s">
        <v>306</v>
      </c>
      <c r="W14" s="3" t="s">
        <v>307</v>
      </c>
      <c r="X14" s="3" t="s">
        <v>308</v>
      </c>
      <c r="Y14" s="3" t="s">
        <v>309</v>
      </c>
      <c r="Z14" s="3" t="s">
        <v>310</v>
      </c>
      <c r="AA14" s="3" t="s">
        <v>311</v>
      </c>
      <c r="AB14" s="3" t="s">
        <v>312</v>
      </c>
      <c r="AC14" s="4" t="s">
        <v>313</v>
      </c>
      <c r="AD14" s="6" t="s">
        <v>314</v>
      </c>
    </row>
    <row r="15" spans="1:30" ht="63.75" customHeight="1" x14ac:dyDescent="0.25">
      <c r="A15" s="2">
        <v>14</v>
      </c>
      <c r="B15" s="2" t="s">
        <v>315</v>
      </c>
      <c r="C15" s="2">
        <v>1998</v>
      </c>
      <c r="D15" s="2" t="s">
        <v>316</v>
      </c>
      <c r="E15" s="2" t="str">
        <f>HYPERLINK("https://www.imdb.com/find/?q=The+Man+in+the+Iron+Mask+1998","Buscar en IMDb")</f>
        <v>Buscar en IMDb</v>
      </c>
      <c r="F15" s="2" t="s">
        <v>317</v>
      </c>
      <c r="G15" s="2" t="s">
        <v>318</v>
      </c>
      <c r="H15" s="3" t="s">
        <v>319</v>
      </c>
      <c r="I15" s="3" t="s">
        <v>85</v>
      </c>
      <c r="J15" s="3" t="s">
        <v>320</v>
      </c>
      <c r="K15" s="3" t="s">
        <v>321</v>
      </c>
      <c r="L15" s="3">
        <v>132</v>
      </c>
      <c r="M15" s="3" t="s">
        <v>322</v>
      </c>
      <c r="N15" s="3" t="s">
        <v>234</v>
      </c>
      <c r="O15" s="3" t="s">
        <v>40</v>
      </c>
      <c r="P15" s="3" t="s">
        <v>173</v>
      </c>
      <c r="Q15" s="3" t="s">
        <v>323</v>
      </c>
      <c r="R15" s="3" t="s">
        <v>324</v>
      </c>
      <c r="S15" s="3" t="s">
        <v>325</v>
      </c>
      <c r="T15" s="3" t="s">
        <v>326</v>
      </c>
      <c r="U15" s="3" t="s">
        <v>327</v>
      </c>
      <c r="V15" s="3" t="s">
        <v>328</v>
      </c>
      <c r="W15" s="3" t="s">
        <v>329</v>
      </c>
      <c r="X15" s="3" t="s">
        <v>330</v>
      </c>
      <c r="Y15" s="3" t="s">
        <v>331</v>
      </c>
      <c r="Z15" s="3" t="s">
        <v>332</v>
      </c>
      <c r="AA15" s="3" t="s">
        <v>333</v>
      </c>
      <c r="AB15" s="3" t="s">
        <v>334</v>
      </c>
      <c r="AC15" s="4" t="s">
        <v>335</v>
      </c>
      <c r="AD15" s="7" t="s">
        <v>336</v>
      </c>
    </row>
    <row r="16" spans="1:30" ht="76.5" customHeight="1" x14ac:dyDescent="0.25">
      <c r="A16" s="2">
        <v>15</v>
      </c>
      <c r="B16" s="2" t="s">
        <v>337</v>
      </c>
      <c r="C16" s="2">
        <v>2000</v>
      </c>
      <c r="D16" s="2" t="s">
        <v>338</v>
      </c>
      <c r="E16" s="2" t="str">
        <f>HYPERLINK("https://www.imdb.com/find/?q=The+Crimson+Rivers+2000","Buscar en IMDb")</f>
        <v>Buscar en IMDb</v>
      </c>
      <c r="F16" s="2" t="s">
        <v>339</v>
      </c>
      <c r="G16" s="2" t="s">
        <v>295</v>
      </c>
      <c r="H16" s="3" t="s">
        <v>340</v>
      </c>
      <c r="I16" s="3" t="s">
        <v>341</v>
      </c>
      <c r="J16" s="3" t="s">
        <v>342</v>
      </c>
      <c r="K16" s="3" t="s">
        <v>343</v>
      </c>
      <c r="L16" s="3">
        <v>106</v>
      </c>
      <c r="M16" s="3" t="s">
        <v>344</v>
      </c>
      <c r="N16" s="3" t="s">
        <v>39</v>
      </c>
      <c r="O16" s="3" t="s">
        <v>40</v>
      </c>
      <c r="P16" s="3" t="s">
        <v>345</v>
      </c>
      <c r="Q16" s="3" t="s">
        <v>257</v>
      </c>
      <c r="R16" s="3" t="s">
        <v>346</v>
      </c>
      <c r="S16" s="3" t="s">
        <v>347</v>
      </c>
      <c r="T16" s="3" t="s">
        <v>348</v>
      </c>
      <c r="U16" s="3" t="s">
        <v>349</v>
      </c>
      <c r="V16" s="3" t="s">
        <v>350</v>
      </c>
      <c r="W16" s="3" t="s">
        <v>351</v>
      </c>
      <c r="X16" s="3" t="s">
        <v>352</v>
      </c>
      <c r="Y16" s="3" t="s">
        <v>353</v>
      </c>
      <c r="Z16" s="3" t="s">
        <v>354</v>
      </c>
      <c r="AA16" s="3" t="s">
        <v>355</v>
      </c>
      <c r="AB16" s="3" t="s">
        <v>356</v>
      </c>
      <c r="AC16" s="4" t="s">
        <v>357</v>
      </c>
      <c r="AD16" s="6" t="s">
        <v>55</v>
      </c>
    </row>
    <row r="17" spans="1:30" ht="89.25" customHeight="1" x14ac:dyDescent="0.25">
      <c r="A17" s="2">
        <v>16</v>
      </c>
      <c r="B17" s="2" t="s">
        <v>358</v>
      </c>
      <c r="C17" s="2">
        <v>1993</v>
      </c>
      <c r="D17" s="2" t="s">
        <v>359</v>
      </c>
      <c r="E17" s="2" t="str">
        <f>HYPERLINK("https://www.imdb.com/find/?q=The+Visitors+1993","Buscar en IMDb")</f>
        <v>Buscar en IMDb</v>
      </c>
      <c r="F17" s="2" t="s">
        <v>360</v>
      </c>
      <c r="G17" s="2" t="s">
        <v>361</v>
      </c>
      <c r="H17" s="3" t="s">
        <v>362</v>
      </c>
      <c r="I17" s="3" t="s">
        <v>341</v>
      </c>
      <c r="J17" s="3" t="s">
        <v>363</v>
      </c>
      <c r="K17" s="3" t="s">
        <v>364</v>
      </c>
      <c r="L17" s="3">
        <v>107</v>
      </c>
      <c r="M17" s="3" t="s">
        <v>365</v>
      </c>
      <c r="N17" s="3" t="s">
        <v>234</v>
      </c>
      <c r="O17" s="3" t="s">
        <v>40</v>
      </c>
      <c r="P17" s="3" t="s">
        <v>345</v>
      </c>
      <c r="Q17" s="3" t="s">
        <v>366</v>
      </c>
      <c r="R17" s="3" t="s">
        <v>367</v>
      </c>
      <c r="S17" s="3" t="s">
        <v>368</v>
      </c>
      <c r="T17" s="3" t="s">
        <v>369</v>
      </c>
      <c r="U17" s="3" t="s">
        <v>370</v>
      </c>
      <c r="V17" s="3" t="s">
        <v>371</v>
      </c>
      <c r="W17" s="3" t="s">
        <v>372</v>
      </c>
      <c r="X17" s="3" t="s">
        <v>373</v>
      </c>
      <c r="Y17" s="3" t="s">
        <v>374</v>
      </c>
      <c r="Z17" s="3" t="s">
        <v>375</v>
      </c>
      <c r="AA17" s="3" t="s">
        <v>376</v>
      </c>
      <c r="AB17" s="3" t="s">
        <v>377</v>
      </c>
      <c r="AC17" s="4" t="s">
        <v>378</v>
      </c>
      <c r="AD17" s="6" t="s">
        <v>55</v>
      </c>
    </row>
    <row r="18" spans="1:30" ht="76.5" customHeight="1" x14ac:dyDescent="0.25">
      <c r="A18" s="2">
        <v>17</v>
      </c>
      <c r="B18" s="2" t="s">
        <v>379</v>
      </c>
      <c r="C18" s="2">
        <v>1971</v>
      </c>
      <c r="D18" s="2" t="s">
        <v>380</v>
      </c>
      <c r="E18" s="2" t="str">
        <f>HYPERLINK("https://www.imdb.com/find/?q=A+Clockwork+Orange+1971","Buscar en IMDb")</f>
        <v>Buscar en IMDb</v>
      </c>
      <c r="F18" s="2" t="s">
        <v>58</v>
      </c>
      <c r="G18" s="2" t="s">
        <v>381</v>
      </c>
      <c r="H18" s="3" t="s">
        <v>382</v>
      </c>
      <c r="I18" s="3" t="s">
        <v>85</v>
      </c>
      <c r="J18" s="3" t="s">
        <v>108</v>
      </c>
      <c r="K18" s="3" t="s">
        <v>383</v>
      </c>
      <c r="L18" s="3">
        <v>136</v>
      </c>
      <c r="M18" s="3" t="s">
        <v>384</v>
      </c>
      <c r="N18" s="3" t="s">
        <v>39</v>
      </c>
      <c r="O18" s="3" t="s">
        <v>385</v>
      </c>
      <c r="P18" s="3" t="s">
        <v>66</v>
      </c>
      <c r="Q18" s="3" t="s">
        <v>67</v>
      </c>
      <c r="R18" s="3" t="s">
        <v>386</v>
      </c>
      <c r="S18" s="3" t="s">
        <v>387</v>
      </c>
      <c r="T18" s="3" t="s">
        <v>388</v>
      </c>
      <c r="U18" s="3" t="s">
        <v>198</v>
      </c>
      <c r="V18" s="3" t="s">
        <v>389</v>
      </c>
      <c r="W18" s="3" t="s">
        <v>390</v>
      </c>
      <c r="X18" s="3" t="s">
        <v>391</v>
      </c>
      <c r="Y18" s="3" t="s">
        <v>392</v>
      </c>
      <c r="Z18" s="3" t="s">
        <v>393</v>
      </c>
      <c r="AA18" s="3" t="s">
        <v>394</v>
      </c>
      <c r="AB18" s="3" t="s">
        <v>395</v>
      </c>
      <c r="AC18" s="4" t="s">
        <v>396</v>
      </c>
      <c r="AD18" s="7" t="s">
        <v>397</v>
      </c>
    </row>
    <row r="19" spans="1:30" ht="63.75" customHeight="1" x14ac:dyDescent="0.25">
      <c r="A19" s="2">
        <v>18</v>
      </c>
      <c r="B19" s="2" t="s">
        <v>398</v>
      </c>
      <c r="C19" s="2">
        <v>1977</v>
      </c>
      <c r="D19" s="2" t="s">
        <v>399</v>
      </c>
      <c r="E19" s="2" t="str">
        <f>HYPERLINK("https://www.imdb.com/find/?q=Star+Wars:+A+New+Hope+1977","Buscar en IMDb")</f>
        <v>Buscar en IMDb</v>
      </c>
      <c r="F19" s="2" t="s">
        <v>400</v>
      </c>
      <c r="G19" s="2" t="s">
        <v>401</v>
      </c>
      <c r="H19" s="3" t="s">
        <v>402</v>
      </c>
      <c r="I19" s="3" t="s">
        <v>35</v>
      </c>
      <c r="J19" s="3" t="s">
        <v>108</v>
      </c>
      <c r="K19" s="3" t="s">
        <v>403</v>
      </c>
      <c r="L19" s="3">
        <v>121</v>
      </c>
      <c r="M19" s="3" t="s">
        <v>404</v>
      </c>
      <c r="N19" s="3" t="s">
        <v>172</v>
      </c>
      <c r="O19" s="3" t="s">
        <v>40</v>
      </c>
      <c r="P19" s="3" t="s">
        <v>405</v>
      </c>
      <c r="Q19" s="3" t="s">
        <v>406</v>
      </c>
      <c r="R19" s="3" t="s">
        <v>133</v>
      </c>
      <c r="S19" s="3" t="s">
        <v>407</v>
      </c>
      <c r="T19" s="3" t="s">
        <v>408</v>
      </c>
      <c r="U19" s="3" t="s">
        <v>46</v>
      </c>
      <c r="V19" s="3" t="s">
        <v>409</v>
      </c>
      <c r="W19" s="3" t="s">
        <v>410</v>
      </c>
      <c r="X19" s="3" t="s">
        <v>411</v>
      </c>
      <c r="Y19" s="3" t="s">
        <v>412</v>
      </c>
      <c r="Z19" s="3" t="s">
        <v>413</v>
      </c>
      <c r="AA19" s="3" t="s">
        <v>414</v>
      </c>
      <c r="AB19" s="3" t="s">
        <v>415</v>
      </c>
      <c r="AC19" s="4" t="s">
        <v>416</v>
      </c>
      <c r="AD19" s="6" t="s">
        <v>55</v>
      </c>
    </row>
    <row r="20" spans="1:30" ht="89.25" customHeight="1" x14ac:dyDescent="0.25">
      <c r="A20" s="2">
        <v>19</v>
      </c>
      <c r="B20" s="2" t="s">
        <v>417</v>
      </c>
      <c r="C20" s="2">
        <v>2013</v>
      </c>
      <c r="D20" s="2" t="s">
        <v>418</v>
      </c>
      <c r="E20" s="2" t="str">
        <f>HYPERLINK("https://www.imdb.com/find/?q=Gravity+2013","Buscar en IMDb")</f>
        <v>Buscar en IMDb</v>
      </c>
      <c r="F20" s="2" t="s">
        <v>419</v>
      </c>
      <c r="G20" s="2" t="s">
        <v>420</v>
      </c>
      <c r="H20" s="3" t="s">
        <v>421</v>
      </c>
      <c r="I20" s="3" t="s">
        <v>85</v>
      </c>
      <c r="J20" s="3" t="s">
        <v>422</v>
      </c>
      <c r="K20" s="3" t="s">
        <v>423</v>
      </c>
      <c r="L20" s="3">
        <v>91</v>
      </c>
      <c r="M20" s="3" t="s">
        <v>424</v>
      </c>
      <c r="N20" s="3" t="s">
        <v>234</v>
      </c>
      <c r="O20" s="3" t="s">
        <v>256</v>
      </c>
      <c r="P20" s="3" t="s">
        <v>111</v>
      </c>
      <c r="Q20" s="3" t="s">
        <v>425</v>
      </c>
      <c r="R20" s="3" t="s">
        <v>426</v>
      </c>
      <c r="S20" s="3" t="s">
        <v>427</v>
      </c>
      <c r="T20" s="3" t="s">
        <v>428</v>
      </c>
      <c r="U20" s="3" t="s">
        <v>198</v>
      </c>
      <c r="V20" s="3" t="s">
        <v>429</v>
      </c>
      <c r="W20" s="3" t="s">
        <v>430</v>
      </c>
      <c r="X20" s="3" t="s">
        <v>431</v>
      </c>
      <c r="Y20" s="3" t="s">
        <v>432</v>
      </c>
      <c r="Z20" s="3" t="s">
        <v>222</v>
      </c>
      <c r="AA20" s="3" t="s">
        <v>433</v>
      </c>
      <c r="AB20" s="3" t="s">
        <v>434</v>
      </c>
      <c r="AC20" s="4" t="s">
        <v>435</v>
      </c>
      <c r="AD20" s="6" t="s">
        <v>55</v>
      </c>
    </row>
    <row r="21" spans="1:30" ht="76.5" customHeight="1" x14ac:dyDescent="0.25">
      <c r="A21" s="2">
        <v>20</v>
      </c>
      <c r="B21" s="2" t="s">
        <v>436</v>
      </c>
      <c r="C21" s="2">
        <v>2018</v>
      </c>
      <c r="D21" s="2" t="s">
        <v>437</v>
      </c>
      <c r="E21" s="2" t="str">
        <f>HYPERLINK("https://www.imdb.com/find/?q=First+Man+2018","Buscar en IMDb")</f>
        <v>Buscar en IMDb</v>
      </c>
      <c r="F21" s="2" t="s">
        <v>438</v>
      </c>
      <c r="G21" s="2" t="s">
        <v>439</v>
      </c>
      <c r="H21" s="3" t="s">
        <v>440</v>
      </c>
      <c r="I21" s="3" t="s">
        <v>441</v>
      </c>
      <c r="J21" s="3" t="s">
        <v>108</v>
      </c>
      <c r="K21" s="3" t="s">
        <v>442</v>
      </c>
      <c r="L21" s="3">
        <v>141</v>
      </c>
      <c r="M21" s="3" t="s">
        <v>443</v>
      </c>
      <c r="N21" s="3" t="s">
        <v>234</v>
      </c>
      <c r="O21" s="3" t="s">
        <v>40</v>
      </c>
      <c r="P21" s="3" t="s">
        <v>111</v>
      </c>
      <c r="Q21" s="3" t="s">
        <v>444</v>
      </c>
      <c r="R21" s="3" t="s">
        <v>445</v>
      </c>
      <c r="S21" s="3" t="s">
        <v>446</v>
      </c>
      <c r="T21" s="3" t="s">
        <v>447</v>
      </c>
      <c r="U21" s="3" t="s">
        <v>448</v>
      </c>
      <c r="V21" s="3" t="s">
        <v>449</v>
      </c>
      <c r="W21" s="3" t="s">
        <v>450</v>
      </c>
      <c r="X21" s="3" t="s">
        <v>451</v>
      </c>
      <c r="Y21" s="3" t="s">
        <v>452</v>
      </c>
      <c r="Z21" s="3" t="s">
        <v>453</v>
      </c>
      <c r="AA21" s="3" t="s">
        <v>454</v>
      </c>
      <c r="AB21" s="3" t="s">
        <v>455</v>
      </c>
      <c r="AC21" s="4" t="s">
        <v>456</v>
      </c>
      <c r="AD21" s="6" t="s">
        <v>55</v>
      </c>
    </row>
    <row r="22" spans="1:30" ht="102" customHeight="1" x14ac:dyDescent="0.25">
      <c r="A22" s="2">
        <v>21</v>
      </c>
      <c r="B22" s="2" t="s">
        <v>457</v>
      </c>
      <c r="C22" s="2">
        <v>1972</v>
      </c>
      <c r="D22" s="2" t="s">
        <v>458</v>
      </c>
      <c r="E22" s="2" t="str">
        <f>HYPERLINK("https://www.imdb.com/find/?q=Solaris+1972","Buscar en IMDb")</f>
        <v>Buscar en IMDb</v>
      </c>
      <c r="F22" s="2" t="s">
        <v>459</v>
      </c>
      <c r="G22" s="2" t="s">
        <v>460</v>
      </c>
      <c r="H22" s="3" t="s">
        <v>461</v>
      </c>
      <c r="I22" s="3" t="s">
        <v>462</v>
      </c>
      <c r="J22" s="3" t="s">
        <v>463</v>
      </c>
      <c r="K22" s="3" t="s">
        <v>464</v>
      </c>
      <c r="L22" s="3">
        <v>167</v>
      </c>
      <c r="M22" s="3" t="s">
        <v>465</v>
      </c>
      <c r="N22" s="3" t="s">
        <v>234</v>
      </c>
      <c r="O22" s="3" t="s">
        <v>385</v>
      </c>
      <c r="P22" s="3" t="s">
        <v>345</v>
      </c>
      <c r="Q22" s="3" t="s">
        <v>67</v>
      </c>
      <c r="R22" s="3" t="s">
        <v>466</v>
      </c>
      <c r="S22" s="3" t="s">
        <v>467</v>
      </c>
      <c r="T22" s="3" t="s">
        <v>468</v>
      </c>
      <c r="U22" s="3" t="s">
        <v>469</v>
      </c>
      <c r="V22" s="3" t="s">
        <v>470</v>
      </c>
      <c r="W22" s="3" t="s">
        <v>471</v>
      </c>
      <c r="X22" s="3" t="s">
        <v>472</v>
      </c>
      <c r="Y22" s="3" t="s">
        <v>473</v>
      </c>
      <c r="Z22" s="3" t="s">
        <v>474</v>
      </c>
      <c r="AA22" s="3" t="s">
        <v>475</v>
      </c>
      <c r="AB22" s="3" t="s">
        <v>476</v>
      </c>
      <c r="AC22" s="4" t="s">
        <v>477</v>
      </c>
      <c r="AD22" s="6" t="s">
        <v>55</v>
      </c>
    </row>
    <row r="23" spans="1:30" ht="102" customHeight="1" x14ac:dyDescent="0.25">
      <c r="A23" s="2">
        <v>22</v>
      </c>
      <c r="B23" s="2" t="s">
        <v>478</v>
      </c>
      <c r="C23" s="2">
        <v>2017</v>
      </c>
      <c r="D23" s="2" t="s">
        <v>479</v>
      </c>
      <c r="E23" s="2" t="str">
        <f>HYPERLINK("https://www.imdb.com/find/?q=Blade+Runner+2049+2017","Buscar en IMDb")</f>
        <v>Buscar en IMDb</v>
      </c>
      <c r="F23" s="2" t="s">
        <v>480</v>
      </c>
      <c r="G23" s="2" t="s">
        <v>439</v>
      </c>
      <c r="H23" s="3" t="s">
        <v>481</v>
      </c>
      <c r="I23" s="3" t="s">
        <v>482</v>
      </c>
      <c r="J23" s="3" t="s">
        <v>108</v>
      </c>
      <c r="K23" s="3" t="s">
        <v>483</v>
      </c>
      <c r="L23" s="3">
        <v>164</v>
      </c>
      <c r="M23" s="3" t="s">
        <v>484</v>
      </c>
      <c r="N23" s="3" t="s">
        <v>39</v>
      </c>
      <c r="O23" s="3" t="s">
        <v>40</v>
      </c>
      <c r="P23" s="3" t="s">
        <v>111</v>
      </c>
      <c r="Q23" s="3" t="s">
        <v>485</v>
      </c>
      <c r="R23" s="3" t="s">
        <v>486</v>
      </c>
      <c r="S23" s="3" t="s">
        <v>487</v>
      </c>
      <c r="T23" s="3" t="s">
        <v>488</v>
      </c>
      <c r="U23" s="3" t="s">
        <v>489</v>
      </c>
      <c r="V23" s="3" t="s">
        <v>490</v>
      </c>
      <c r="W23" s="3" t="s">
        <v>491</v>
      </c>
      <c r="X23" s="3" t="s">
        <v>492</v>
      </c>
      <c r="Y23" s="3" t="s">
        <v>493</v>
      </c>
      <c r="Z23" s="3" t="s">
        <v>494</v>
      </c>
      <c r="AA23" s="3" t="s">
        <v>495</v>
      </c>
      <c r="AB23" s="3" t="s">
        <v>496</v>
      </c>
      <c r="AC23" s="4" t="s">
        <v>497</v>
      </c>
      <c r="AD23" s="6" t="s">
        <v>55</v>
      </c>
    </row>
    <row r="24" spans="1:30" ht="127.5" customHeight="1" x14ac:dyDescent="0.25">
      <c r="A24" s="2">
        <v>23</v>
      </c>
      <c r="B24" s="2" t="s">
        <v>498</v>
      </c>
      <c r="C24" s="2">
        <v>2014</v>
      </c>
      <c r="D24" s="2" t="s">
        <v>499</v>
      </c>
      <c r="E24" s="2" t="str">
        <f>HYPERLINK("https://www.imdb.com/find/?q=Guardians+of+the+Galaxy+2014","Buscar en IMDb")</f>
        <v>Buscar en IMDb</v>
      </c>
      <c r="F24" s="2" t="s">
        <v>500</v>
      </c>
      <c r="G24" s="2" t="s">
        <v>501</v>
      </c>
      <c r="H24" s="3" t="s">
        <v>502</v>
      </c>
      <c r="I24" s="3" t="s">
        <v>503</v>
      </c>
      <c r="J24" s="3" t="s">
        <v>108</v>
      </c>
      <c r="K24" s="3" t="s">
        <v>504</v>
      </c>
      <c r="L24" s="3">
        <v>121</v>
      </c>
      <c r="M24" s="3" t="s">
        <v>505</v>
      </c>
      <c r="N24" s="3" t="s">
        <v>234</v>
      </c>
      <c r="O24" s="3" t="s">
        <v>40</v>
      </c>
      <c r="P24" s="3" t="s">
        <v>111</v>
      </c>
      <c r="Q24" s="3" t="s">
        <v>506</v>
      </c>
      <c r="R24" s="3" t="s">
        <v>507</v>
      </c>
      <c r="S24" s="3" t="s">
        <v>508</v>
      </c>
      <c r="T24" s="3" t="s">
        <v>509</v>
      </c>
      <c r="U24" s="3" t="s">
        <v>510</v>
      </c>
      <c r="V24" s="3" t="s">
        <v>511</v>
      </c>
      <c r="W24" s="3" t="s">
        <v>512</v>
      </c>
      <c r="X24" s="3" t="s">
        <v>513</v>
      </c>
      <c r="Y24" s="3" t="s">
        <v>514</v>
      </c>
      <c r="Z24" s="3" t="s">
        <v>515</v>
      </c>
      <c r="AA24" s="3" t="s">
        <v>516</v>
      </c>
      <c r="AB24" s="3" t="s">
        <v>517</v>
      </c>
      <c r="AC24" s="4" t="s">
        <v>518</v>
      </c>
      <c r="AD24" s="6" t="s">
        <v>55</v>
      </c>
    </row>
    <row r="25" spans="1:30" ht="76.5" customHeight="1" x14ac:dyDescent="0.25">
      <c r="A25" s="2">
        <v>24</v>
      </c>
      <c r="B25" s="2" t="s">
        <v>519</v>
      </c>
      <c r="C25" s="2">
        <v>1977</v>
      </c>
      <c r="D25" s="2" t="s">
        <v>520</v>
      </c>
      <c r="E25" s="2" t="str">
        <f>HYPERLINK("https://www.imdb.com/find/?q=Close+Encounters+of+the+Third+Kind+1977","Buscar en IMDb")</f>
        <v>Buscar en IMDb</v>
      </c>
      <c r="F25" s="2" t="s">
        <v>521</v>
      </c>
      <c r="G25" s="2" t="s">
        <v>522</v>
      </c>
      <c r="H25" s="3" t="s">
        <v>523</v>
      </c>
      <c r="I25" s="3" t="s">
        <v>35</v>
      </c>
      <c r="J25" s="3" t="s">
        <v>108</v>
      </c>
      <c r="K25" s="3" t="s">
        <v>524</v>
      </c>
      <c r="L25" s="3">
        <v>138</v>
      </c>
      <c r="M25" s="3" t="s">
        <v>525</v>
      </c>
      <c r="N25" s="3" t="s">
        <v>172</v>
      </c>
      <c r="O25" s="3" t="s">
        <v>40</v>
      </c>
      <c r="P25" s="3" t="s">
        <v>111</v>
      </c>
      <c r="Q25" s="3" t="s">
        <v>526</v>
      </c>
      <c r="R25" s="3" t="s">
        <v>527</v>
      </c>
      <c r="S25" s="3" t="s">
        <v>528</v>
      </c>
      <c r="T25" s="3" t="s">
        <v>529</v>
      </c>
      <c r="U25" s="3" t="s">
        <v>530</v>
      </c>
      <c r="V25" s="3" t="s">
        <v>531</v>
      </c>
      <c r="W25" s="3" t="s">
        <v>532</v>
      </c>
      <c r="X25" s="3" t="s">
        <v>533</v>
      </c>
      <c r="Y25" s="3" t="s">
        <v>534</v>
      </c>
      <c r="Z25" s="3" t="s">
        <v>535</v>
      </c>
      <c r="AA25" s="3" t="s">
        <v>536</v>
      </c>
      <c r="AB25" s="3" t="s">
        <v>537</v>
      </c>
      <c r="AC25" s="4" t="s">
        <v>538</v>
      </c>
      <c r="AD25" s="6" t="s">
        <v>55</v>
      </c>
    </row>
    <row r="26" spans="1:30" ht="89.25" customHeight="1" x14ac:dyDescent="0.25">
      <c r="A26" s="2">
        <v>25</v>
      </c>
      <c r="B26" s="2" t="s">
        <v>539</v>
      </c>
      <c r="C26" s="2">
        <v>1975</v>
      </c>
      <c r="D26" s="2" t="s">
        <v>540</v>
      </c>
      <c r="E26" s="2" t="str">
        <f>HYPERLINK("https://www.imdb.com/find/?q=Barry+Lyndon+1975","Buscar en IMDb")</f>
        <v>Buscar en IMDb</v>
      </c>
      <c r="F26" s="2" t="s">
        <v>58</v>
      </c>
      <c r="G26" s="2" t="s">
        <v>541</v>
      </c>
      <c r="H26" s="3" t="s">
        <v>542</v>
      </c>
      <c r="I26" s="3" t="s">
        <v>85</v>
      </c>
      <c r="J26" s="3" t="s">
        <v>543</v>
      </c>
      <c r="K26" s="3" t="s">
        <v>544</v>
      </c>
      <c r="L26" s="3">
        <v>185</v>
      </c>
      <c r="M26" s="3" t="s">
        <v>545</v>
      </c>
      <c r="N26" s="3" t="s">
        <v>172</v>
      </c>
      <c r="O26" s="3" t="s">
        <v>40</v>
      </c>
      <c r="P26" s="3" t="s">
        <v>66</v>
      </c>
      <c r="Q26" s="3" t="s">
        <v>67</v>
      </c>
      <c r="R26" s="3" t="s">
        <v>133</v>
      </c>
      <c r="S26" s="3" t="s">
        <v>546</v>
      </c>
      <c r="T26" s="3" t="s">
        <v>547</v>
      </c>
      <c r="U26" s="3" t="s">
        <v>198</v>
      </c>
      <c r="V26" s="3" t="s">
        <v>548</v>
      </c>
      <c r="W26" s="3" t="s">
        <v>549</v>
      </c>
      <c r="X26" s="3" t="s">
        <v>550</v>
      </c>
      <c r="Y26" s="3" t="s">
        <v>551</v>
      </c>
      <c r="Z26" s="3" t="s">
        <v>552</v>
      </c>
      <c r="AA26" s="3" t="s">
        <v>553</v>
      </c>
      <c r="AB26" s="3" t="s">
        <v>554</v>
      </c>
      <c r="AC26" s="4" t="s">
        <v>555</v>
      </c>
      <c r="AD26" s="6" t="s">
        <v>55</v>
      </c>
    </row>
    <row r="27" spans="1:30" ht="89.25" customHeight="1" x14ac:dyDescent="0.25">
      <c r="A27" s="2">
        <v>26</v>
      </c>
      <c r="B27" s="2" t="s">
        <v>556</v>
      </c>
      <c r="C27" s="2">
        <v>2013</v>
      </c>
      <c r="D27" s="2" t="s">
        <v>557</v>
      </c>
      <c r="E27" s="2" t="str">
        <f>HYPERLINK("https://www.imdb.com/find/?q=Sharknado+2013","Buscar en IMDb")</f>
        <v>Buscar en IMDb</v>
      </c>
      <c r="F27" s="2" t="s">
        <v>558</v>
      </c>
      <c r="G27" s="2" t="s">
        <v>559</v>
      </c>
      <c r="H27" s="3" t="s">
        <v>560</v>
      </c>
      <c r="I27" s="3" t="s">
        <v>35</v>
      </c>
      <c r="J27" s="3" t="s">
        <v>108</v>
      </c>
      <c r="K27" s="3" t="s">
        <v>561</v>
      </c>
      <c r="L27" s="3">
        <v>86</v>
      </c>
      <c r="M27" s="3" t="s">
        <v>505</v>
      </c>
      <c r="N27" s="3" t="s">
        <v>562</v>
      </c>
      <c r="O27" s="3" t="s">
        <v>40</v>
      </c>
      <c r="P27" s="3" t="s">
        <v>563</v>
      </c>
      <c r="Q27" s="3" t="s">
        <v>564</v>
      </c>
      <c r="R27" s="3" t="s">
        <v>565</v>
      </c>
      <c r="S27" s="3" t="s">
        <v>566</v>
      </c>
      <c r="T27" s="3" t="s">
        <v>567</v>
      </c>
      <c r="U27" s="3" t="s">
        <v>568</v>
      </c>
      <c r="V27" s="3" t="s">
        <v>569</v>
      </c>
      <c r="W27" s="3" t="s">
        <v>570</v>
      </c>
      <c r="X27" s="3" t="s">
        <v>571</v>
      </c>
      <c r="Y27" s="3" t="s">
        <v>572</v>
      </c>
      <c r="Z27" s="3" t="s">
        <v>573</v>
      </c>
      <c r="AA27" s="3" t="s">
        <v>574</v>
      </c>
      <c r="AB27" s="3" t="s">
        <v>575</v>
      </c>
      <c r="AC27" s="4" t="s">
        <v>576</v>
      </c>
      <c r="AD27" s="6" t="s">
        <v>577</v>
      </c>
    </row>
    <row r="28" spans="1:30" ht="51" customHeight="1" x14ac:dyDescent="0.25">
      <c r="A28" s="2">
        <v>27</v>
      </c>
      <c r="B28" s="2" t="s">
        <v>578</v>
      </c>
      <c r="C28" s="2">
        <v>1991</v>
      </c>
      <c r="D28" s="2" t="s">
        <v>579</v>
      </c>
      <c r="E28" s="2" t="str">
        <f>HYPERLINK("https://www.imdb.com/find/?q=Terminator+2:+Judgment+Day+1991","Buscar en IMDb")</f>
        <v>Buscar en IMDb</v>
      </c>
      <c r="F28" s="2" t="s">
        <v>82</v>
      </c>
      <c r="G28" s="2" t="s">
        <v>580</v>
      </c>
      <c r="H28" s="3" t="s">
        <v>581</v>
      </c>
      <c r="I28" s="3" t="s">
        <v>582</v>
      </c>
      <c r="J28" s="3" t="s">
        <v>86</v>
      </c>
      <c r="K28" s="3" t="s">
        <v>583</v>
      </c>
      <c r="L28" s="3">
        <v>137</v>
      </c>
      <c r="M28" s="3" t="s">
        <v>110</v>
      </c>
      <c r="N28" s="3" t="s">
        <v>39</v>
      </c>
      <c r="O28" s="3" t="s">
        <v>40</v>
      </c>
      <c r="P28" s="3" t="s">
        <v>111</v>
      </c>
      <c r="Q28" s="3" t="s">
        <v>584</v>
      </c>
      <c r="R28" s="3" t="s">
        <v>585</v>
      </c>
      <c r="S28" s="3" t="s">
        <v>586</v>
      </c>
      <c r="T28" s="3" t="s">
        <v>587</v>
      </c>
      <c r="U28" s="3" t="s">
        <v>261</v>
      </c>
      <c r="V28" s="3" t="s">
        <v>588</v>
      </c>
      <c r="W28" s="3" t="s">
        <v>589</v>
      </c>
      <c r="X28" s="3" t="s">
        <v>590</v>
      </c>
      <c r="Y28" s="3" t="s">
        <v>591</v>
      </c>
      <c r="Z28" s="3" t="s">
        <v>592</v>
      </c>
      <c r="AA28" s="3" t="s">
        <v>593</v>
      </c>
      <c r="AB28" s="3" t="s">
        <v>594</v>
      </c>
      <c r="AC28" s="4" t="s">
        <v>595</v>
      </c>
      <c r="AD28" s="6" t="s">
        <v>55</v>
      </c>
    </row>
    <row r="29" spans="1:30" ht="76.5" customHeight="1" x14ac:dyDescent="0.25">
      <c r="A29" s="2">
        <v>28</v>
      </c>
      <c r="B29" s="2" t="s">
        <v>596</v>
      </c>
      <c r="C29" s="2">
        <v>1997</v>
      </c>
      <c r="D29" s="2" t="s">
        <v>597</v>
      </c>
      <c r="E29" s="2" t="str">
        <f>HYPERLINK("https://www.imdb.com/find/?q=Scream+2+1997","Buscar en IMDb")</f>
        <v>Buscar en IMDb</v>
      </c>
      <c r="F29" s="2" t="s">
        <v>598</v>
      </c>
      <c r="G29" s="2" t="s">
        <v>599</v>
      </c>
      <c r="H29" s="3" t="s">
        <v>600</v>
      </c>
      <c r="I29" s="3" t="s">
        <v>35</v>
      </c>
      <c r="J29" s="3" t="s">
        <v>108</v>
      </c>
      <c r="K29" s="3" t="s">
        <v>601</v>
      </c>
      <c r="L29" s="3">
        <v>120</v>
      </c>
      <c r="M29" s="3" t="s">
        <v>602</v>
      </c>
      <c r="N29" s="3" t="s">
        <v>39</v>
      </c>
      <c r="O29" s="3" t="s">
        <v>40</v>
      </c>
      <c r="P29" s="3" t="s">
        <v>111</v>
      </c>
      <c r="Q29" s="3" t="s">
        <v>564</v>
      </c>
      <c r="R29" s="3" t="s">
        <v>603</v>
      </c>
      <c r="S29" s="3" t="s">
        <v>604</v>
      </c>
      <c r="T29" s="3" t="s">
        <v>605</v>
      </c>
      <c r="U29" s="3" t="s">
        <v>606</v>
      </c>
      <c r="V29" s="3" t="s">
        <v>607</v>
      </c>
      <c r="W29" s="3" t="s">
        <v>608</v>
      </c>
      <c r="X29" s="3" t="s">
        <v>609</v>
      </c>
      <c r="Y29" s="3" t="s">
        <v>610</v>
      </c>
      <c r="Z29" s="3" t="s">
        <v>611</v>
      </c>
      <c r="AA29" s="3" t="s">
        <v>612</v>
      </c>
      <c r="AB29" s="3" t="s">
        <v>613</v>
      </c>
      <c r="AC29" s="4" t="s">
        <v>614</v>
      </c>
      <c r="AD29" s="6" t="s">
        <v>55</v>
      </c>
    </row>
    <row r="30" spans="1:30" ht="76.5" customHeight="1" x14ac:dyDescent="0.25">
      <c r="A30" s="2">
        <v>29</v>
      </c>
      <c r="B30" s="2" t="s">
        <v>615</v>
      </c>
      <c r="C30" s="2">
        <v>2003</v>
      </c>
      <c r="D30" s="2" t="s">
        <v>616</v>
      </c>
      <c r="E30" s="2" t="str">
        <f>HYPERLINK("https://www.imdb.com/find/?q=The+Matrix+Reloaded+2003","Buscar en IMDb")</f>
        <v>Buscar en IMDb</v>
      </c>
      <c r="F30" s="2" t="s">
        <v>617</v>
      </c>
      <c r="G30" s="2" t="s">
        <v>618</v>
      </c>
      <c r="H30" s="3" t="s">
        <v>619</v>
      </c>
      <c r="I30" s="3" t="s">
        <v>35</v>
      </c>
      <c r="J30" s="3" t="s">
        <v>620</v>
      </c>
      <c r="K30" s="3" t="s">
        <v>621</v>
      </c>
      <c r="L30" s="3">
        <v>138</v>
      </c>
      <c r="M30" s="3" t="s">
        <v>622</v>
      </c>
      <c r="N30" s="3" t="s">
        <v>39</v>
      </c>
      <c r="O30" s="3" t="s">
        <v>40</v>
      </c>
      <c r="P30" s="3" t="s">
        <v>111</v>
      </c>
      <c r="Q30" s="3" t="s">
        <v>623</v>
      </c>
      <c r="R30" s="3" t="s">
        <v>486</v>
      </c>
      <c r="S30" s="3" t="s">
        <v>624</v>
      </c>
      <c r="T30" s="3" t="s">
        <v>625</v>
      </c>
      <c r="U30" s="3" t="s">
        <v>198</v>
      </c>
      <c r="V30" s="3" t="s">
        <v>626</v>
      </c>
      <c r="W30" s="3" t="s">
        <v>627</v>
      </c>
      <c r="X30" s="3" t="s">
        <v>628</v>
      </c>
      <c r="Y30" s="3" t="s">
        <v>629</v>
      </c>
      <c r="Z30" s="3" t="s">
        <v>630</v>
      </c>
      <c r="AA30" s="3" t="s">
        <v>631</v>
      </c>
      <c r="AB30" s="3" t="s">
        <v>632</v>
      </c>
      <c r="AC30" s="4" t="s">
        <v>633</v>
      </c>
      <c r="AD30" s="6" t="s">
        <v>55</v>
      </c>
    </row>
    <row r="31" spans="1:30" ht="89.25" customHeight="1" x14ac:dyDescent="0.25">
      <c r="A31" s="2">
        <v>30</v>
      </c>
      <c r="B31" s="2" t="s">
        <v>634</v>
      </c>
      <c r="C31" s="2">
        <v>1995</v>
      </c>
      <c r="D31" s="2" t="s">
        <v>635</v>
      </c>
      <c r="E31" s="2" t="str">
        <f>HYPERLINK("https://www.imdb.com/find/?q=Toy+Story+1995","Buscar en IMDb")</f>
        <v>Buscar en IMDb</v>
      </c>
      <c r="F31" s="2" t="s">
        <v>636</v>
      </c>
      <c r="G31" s="2" t="s">
        <v>637</v>
      </c>
      <c r="H31" s="3" t="s">
        <v>638</v>
      </c>
      <c r="I31" s="3" t="s">
        <v>35</v>
      </c>
      <c r="J31" s="3" t="s">
        <v>108</v>
      </c>
      <c r="K31" s="3" t="s">
        <v>639</v>
      </c>
      <c r="L31" s="3">
        <v>92</v>
      </c>
      <c r="M31" s="3" t="s">
        <v>640</v>
      </c>
      <c r="N31" s="3" t="s">
        <v>641</v>
      </c>
      <c r="O31" s="3" t="s">
        <v>151</v>
      </c>
      <c r="P31" s="3" t="s">
        <v>642</v>
      </c>
      <c r="Q31" s="3" t="s">
        <v>643</v>
      </c>
      <c r="R31" s="3" t="s">
        <v>644</v>
      </c>
      <c r="S31" s="3" t="s">
        <v>645</v>
      </c>
      <c r="T31" s="3" t="s">
        <v>646</v>
      </c>
      <c r="U31" s="3" t="s">
        <v>647</v>
      </c>
      <c r="V31" s="3" t="s">
        <v>648</v>
      </c>
      <c r="W31" s="3" t="s">
        <v>649</v>
      </c>
      <c r="X31" s="3" t="s">
        <v>650</v>
      </c>
      <c r="Y31" s="3" t="s">
        <v>651</v>
      </c>
      <c r="Z31" s="3" t="s">
        <v>652</v>
      </c>
      <c r="AA31" s="3" t="s">
        <v>653</v>
      </c>
      <c r="AB31" s="3" t="s">
        <v>654</v>
      </c>
      <c r="AC31" s="4" t="s">
        <v>655</v>
      </c>
      <c r="AD31" s="6" t="s">
        <v>55</v>
      </c>
    </row>
    <row r="32" spans="1:30" ht="63.75" customHeight="1" x14ac:dyDescent="0.25">
      <c r="A32" s="2">
        <v>31</v>
      </c>
      <c r="B32" s="2" t="s">
        <v>656</v>
      </c>
      <c r="C32" s="2">
        <v>1989</v>
      </c>
      <c r="D32" s="2" t="s">
        <v>657</v>
      </c>
      <c r="E32" s="2" t="str">
        <f>HYPERLINK("https://www.imdb.com/find/?q=Ghostbusters+II+1989","Buscar en IMDb")</f>
        <v>Buscar en IMDb</v>
      </c>
      <c r="F32" s="2" t="s">
        <v>658</v>
      </c>
      <c r="G32" s="2" t="s">
        <v>659</v>
      </c>
      <c r="H32" s="3" t="s">
        <v>660</v>
      </c>
      <c r="I32" s="3" t="s">
        <v>35</v>
      </c>
      <c r="J32" s="3" t="s">
        <v>108</v>
      </c>
      <c r="K32" s="3" t="s">
        <v>661</v>
      </c>
      <c r="L32" s="3">
        <v>108</v>
      </c>
      <c r="M32" s="3" t="s">
        <v>662</v>
      </c>
      <c r="N32" s="3" t="s">
        <v>172</v>
      </c>
      <c r="O32" s="3" t="s">
        <v>40</v>
      </c>
      <c r="P32" s="3" t="s">
        <v>111</v>
      </c>
      <c r="Q32" s="3" t="s">
        <v>584</v>
      </c>
      <c r="R32" s="3" t="s">
        <v>663</v>
      </c>
      <c r="S32" s="3" t="s">
        <v>664</v>
      </c>
      <c r="T32" s="3" t="s">
        <v>665</v>
      </c>
      <c r="U32" s="3" t="s">
        <v>530</v>
      </c>
      <c r="V32" s="3" t="s">
        <v>666</v>
      </c>
      <c r="W32" s="3" t="s">
        <v>667</v>
      </c>
      <c r="X32" s="3" t="s">
        <v>668</v>
      </c>
      <c r="Y32" s="3" t="s">
        <v>669</v>
      </c>
      <c r="Z32" s="3" t="s">
        <v>670</v>
      </c>
      <c r="AA32" s="3" t="s">
        <v>671</v>
      </c>
      <c r="AB32" s="3" t="s">
        <v>672</v>
      </c>
      <c r="AC32" s="4" t="s">
        <v>673</v>
      </c>
      <c r="AD32" s="6" t="s">
        <v>55</v>
      </c>
    </row>
    <row r="33" spans="1:30" ht="76.5" customHeight="1" x14ac:dyDescent="0.25">
      <c r="A33" s="2">
        <v>32</v>
      </c>
      <c r="B33" s="2" t="s">
        <v>674</v>
      </c>
      <c r="C33" s="2">
        <v>1981</v>
      </c>
      <c r="D33" s="2" t="s">
        <v>675</v>
      </c>
      <c r="E33" s="2" t="str">
        <f>HYPERLINK("https://www.imdb.com/find/?q=Raiders+of+the+Lost+Ark+1981","Buscar en IMDb")</f>
        <v>Buscar en IMDb</v>
      </c>
      <c r="F33" s="2" t="s">
        <v>521</v>
      </c>
      <c r="G33" s="2" t="s">
        <v>676</v>
      </c>
      <c r="H33" s="3" t="s">
        <v>677</v>
      </c>
      <c r="I33" s="3" t="s">
        <v>35</v>
      </c>
      <c r="J33" s="3" t="s">
        <v>678</v>
      </c>
      <c r="K33" s="3" t="s">
        <v>679</v>
      </c>
      <c r="L33" s="3">
        <v>115</v>
      </c>
      <c r="M33" s="3" t="s">
        <v>680</v>
      </c>
      <c r="N33" s="3" t="s">
        <v>172</v>
      </c>
      <c r="O33" s="3" t="s">
        <v>40</v>
      </c>
      <c r="P33" s="3" t="s">
        <v>111</v>
      </c>
      <c r="Q33" s="3" t="s">
        <v>681</v>
      </c>
      <c r="R33" s="3" t="s">
        <v>682</v>
      </c>
      <c r="S33" s="3" t="s">
        <v>683</v>
      </c>
      <c r="T33" s="3" t="s">
        <v>684</v>
      </c>
      <c r="U33" s="3" t="s">
        <v>178</v>
      </c>
      <c r="V33" s="3" t="s">
        <v>685</v>
      </c>
      <c r="W33" s="3" t="s">
        <v>686</v>
      </c>
      <c r="X33" s="3" t="s">
        <v>687</v>
      </c>
      <c r="Y33" s="3" t="s">
        <v>688</v>
      </c>
      <c r="Z33" s="3" t="s">
        <v>689</v>
      </c>
      <c r="AA33" s="3" t="s">
        <v>690</v>
      </c>
      <c r="AB33" s="3" t="s">
        <v>691</v>
      </c>
      <c r="AC33" s="4" t="s">
        <v>692</v>
      </c>
      <c r="AD33" s="6" t="s">
        <v>693</v>
      </c>
    </row>
    <row r="34" spans="1:30" ht="114.75" customHeight="1" x14ac:dyDescent="0.25">
      <c r="A34" s="2">
        <v>33</v>
      </c>
      <c r="B34" s="2" t="s">
        <v>694</v>
      </c>
      <c r="C34" s="2">
        <v>1980</v>
      </c>
      <c r="D34" s="2" t="s">
        <v>695</v>
      </c>
      <c r="E34" s="2" t="str">
        <f>HYPERLINK("https://www.imdb.com/find/?q=The+Shining+1980","Buscar en IMDb")</f>
        <v>Buscar en IMDb</v>
      </c>
      <c r="F34" s="2" t="s">
        <v>58</v>
      </c>
      <c r="G34" s="2" t="s">
        <v>696</v>
      </c>
      <c r="H34" s="3" t="s">
        <v>697</v>
      </c>
      <c r="I34" s="3" t="s">
        <v>85</v>
      </c>
      <c r="J34" s="3" t="s">
        <v>108</v>
      </c>
      <c r="K34" s="3" t="s">
        <v>698</v>
      </c>
      <c r="L34" s="3">
        <v>146</v>
      </c>
      <c r="M34" s="3" t="s">
        <v>699</v>
      </c>
      <c r="N34" s="3" t="s">
        <v>39</v>
      </c>
      <c r="O34" s="3" t="s">
        <v>40</v>
      </c>
      <c r="P34" s="3" t="s">
        <v>700</v>
      </c>
      <c r="Q34" s="3" t="s">
        <v>701</v>
      </c>
      <c r="R34" s="3" t="s">
        <v>195</v>
      </c>
      <c r="S34" s="3" t="s">
        <v>702</v>
      </c>
      <c r="T34" s="3" t="s">
        <v>703</v>
      </c>
      <c r="U34" s="3" t="s">
        <v>198</v>
      </c>
      <c r="V34" s="3" t="s">
        <v>704</v>
      </c>
      <c r="W34" s="3" t="s">
        <v>705</v>
      </c>
      <c r="X34" s="3" t="s">
        <v>706</v>
      </c>
      <c r="Y34" s="3" t="s">
        <v>707</v>
      </c>
      <c r="Z34" s="3" t="s">
        <v>708</v>
      </c>
      <c r="AA34" s="3" t="s">
        <v>709</v>
      </c>
      <c r="AB34" s="3" t="s">
        <v>710</v>
      </c>
      <c r="AC34" s="4" t="s">
        <v>711</v>
      </c>
      <c r="AD34" s="6" t="s">
        <v>712</v>
      </c>
    </row>
    <row r="35" spans="1:30" ht="89.25" customHeight="1" x14ac:dyDescent="0.25">
      <c r="A35" s="2">
        <v>34</v>
      </c>
      <c r="B35" s="2" t="s">
        <v>713</v>
      </c>
      <c r="C35" s="2">
        <v>2009</v>
      </c>
      <c r="D35" s="2" t="s">
        <v>714</v>
      </c>
      <c r="E35" s="2" t="str">
        <f>HYPERLINK("https://www.imdb.com/find/?q=The+Human+Centipede+(First+Sequence)+2009","Buscar en IMDb")</f>
        <v>Buscar en IMDb</v>
      </c>
      <c r="F35" s="2" t="s">
        <v>715</v>
      </c>
      <c r="G35" s="2" t="s">
        <v>716</v>
      </c>
      <c r="H35" s="3" t="s">
        <v>717</v>
      </c>
      <c r="I35" s="3" t="s">
        <v>718</v>
      </c>
      <c r="J35" s="3" t="s">
        <v>719</v>
      </c>
      <c r="K35" s="3" t="s">
        <v>720</v>
      </c>
      <c r="L35" s="3">
        <v>92</v>
      </c>
      <c r="M35" s="3" t="s">
        <v>721</v>
      </c>
      <c r="N35" s="3" t="s">
        <v>39</v>
      </c>
      <c r="O35" s="3" t="s">
        <v>40</v>
      </c>
      <c r="P35" s="3" t="s">
        <v>722</v>
      </c>
      <c r="Q35" s="3" t="s">
        <v>723</v>
      </c>
      <c r="R35" s="3" t="s">
        <v>724</v>
      </c>
      <c r="S35" s="3" t="s">
        <v>725</v>
      </c>
      <c r="T35" s="3" t="s">
        <v>726</v>
      </c>
      <c r="U35" s="3" t="s">
        <v>727</v>
      </c>
      <c r="V35" s="3" t="s">
        <v>728</v>
      </c>
      <c r="W35" s="3" t="s">
        <v>729</v>
      </c>
      <c r="X35" s="3" t="s">
        <v>730</v>
      </c>
      <c r="Y35" s="3" t="s">
        <v>731</v>
      </c>
      <c r="Z35" s="3" t="s">
        <v>732</v>
      </c>
      <c r="AA35" s="3" t="s">
        <v>733</v>
      </c>
      <c r="AB35" s="3" t="s">
        <v>734</v>
      </c>
      <c r="AC35" s="4" t="s">
        <v>735</v>
      </c>
      <c r="AD35" s="7" t="s">
        <v>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IMDb field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2026-08-20T18:36:30Z</dcterms:created>
  <dcterms:modified xsi:type="dcterms:W3CDTF">2026-08-22T20:58:07Z</dcterms:modified>
</cp:coreProperties>
</file>